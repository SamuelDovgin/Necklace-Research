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8cad4b212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6a3d4881084b45"/>
    <x:sheet xmlns:r="http://schemas.openxmlformats.org/officeDocument/2006/relationships" name="RFQ Tracker" sheetId="2" r:id="Rbac2357633b74b43"/>
    <x:sheet xmlns:r="http://schemas.openxmlformats.org/officeDocument/2006/relationships" name="Suppliers" sheetId="3" r:id="R32f8f3154d24456a"/>
    <x:sheet xmlns:r="http://schemas.openxmlformats.org/officeDocument/2006/relationships" name="Review Log" sheetId="4" r:id="Red0ecd77b98b4ec6"/>
    <x:sheet xmlns:r="http://schemas.openxmlformats.org/officeDocument/2006/relationships" name="Question Bank" sheetId="5" r:id="Rf9091a9a3b8746ad"/>
    <x:sheet xmlns:r="http://schemas.openxmlformats.org/officeDocument/2006/relationships" name="QC Checklist" sheetId="6" r:id="R4f770567a48c4fcd"/>
    <x:sheet xmlns:r="http://schemas.openxmlformats.org/officeDocument/2006/relationships" name="Spec" sheetId="7" r:id="R5f62138873784716"/>
    <x:sheet xmlns:r="http://schemas.openxmlformats.org/officeDocument/2006/relationships" name="Scoring Rubric" sheetId="8" r:id="R8999bf30a155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"/>
    <x:numFmt numFmtId="202" formatCode="yyyy-mm-dd"/>
    <x:numFmt numFmtId="203" formatCode="&quot;$&quot;#,##0"/>
    <x:numFmt numFmtId="204" formatCode="0.00"/>
    <x:numFmt numFmtId="205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202124"/>
      <x:name val="Carlito"/>
    </x:font>
    <x:font>
      <x:b/>
      <x:sz val="11"/>
      <x:color rgb="FF0F3F3C"/>
      <x:name val="Carlito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rgb="FFA9C9C5"/>
      </x:left>
      <x:top style="thin">
        <x:color rgb="FFA9C9C5"/>
      </x:top>
      <x:bottom style="thin">
        <x:color rgb="FFA9C9C5"/>
      </x:bottom>
    </x:border>
    <x:border>
      <x:top style="thin">
        <x:color rgb="FFA9C9C5"/>
      </x:top>
      <x:bottom style="thin">
        <x:color rgb="FFA9C9C5"/>
      </x:bottom>
    </x:border>
    <x:border>
      <x:right style="thin">
        <x:color rgb="FFA9C9C5"/>
      </x:right>
      <x:top style="thin">
        <x:color rgb="FFA9C9C5"/>
      </x:top>
      <x:bottom style="thin">
        <x:color rgb="FFA9C9C5"/>
      </x:bottom>
    </x:border>
    <x:border>
      <x:top style="thin">
        <x:color rgb="FFD6CFC1"/>
      </x:top>
      <x:bottom style="thin">
        <x:color rgb="FFE8E2D8"/>
      </x:bottom>
    </x:border>
    <x:border>
      <x:top style="thin">
        <x:color rgb="FFE8E2D8"/>
      </x:top>
      <x:bottom style="thin">
        <x:color rgb="FFE8E2D8"/>
      </x:bottom>
    </x:border>
    <x:border>
      <x:top style="thin">
        <x:color rgb="FFE8E2D8"/>
      </x:top>
      <x:bottom style="thin">
        <x:color rgb="FFD6CFC1"/>
      </x:bottom>
    </x:border>
    <x:border>
      <x:left style="thin">
        <x:color rgb="FFD8C08C"/>
      </x:left>
      <x:top style="thin">
        <x:color rgb="FFD8C08C"/>
      </x:top>
    </x:border>
    <x:border>
      <x:top style="thin">
        <x:color rgb="FFD8C08C"/>
      </x:top>
    </x:border>
    <x:border>
      <x:right style="thin">
        <x:color rgb="FFD8C08C"/>
      </x:right>
      <x:top style="thin">
        <x:color rgb="FFD8C08C"/>
      </x:top>
    </x:border>
    <x:border>
      <x:left style="thin">
        <x:color rgb="FFD8C08C"/>
      </x:left>
    </x:border>
    <x:border>
      <x:right style="thin">
        <x:color rgb="FFD8C08C"/>
      </x:right>
    </x:border>
    <x:border>
      <x:left style="thin">
        <x:color rgb="FFD8C08C"/>
      </x:left>
      <x:bottom style="thin">
        <x:color rgb="FFD8C08C"/>
      </x:bottom>
    </x:border>
    <x:border>
      <x:bottom style="thin">
        <x:color rgb="FFD8C08C"/>
      </x:bottom>
    </x:border>
    <x:border>
      <x:right style="thin">
        <x:color rgb="FFD8C08C"/>
      </x:right>
      <x:bottom style="thin">
        <x:color rgb="FFD8C08C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4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4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4" xfId="0" applyNumberFormat="1" applyFont="1" applyFill="1" applyBorder="1" applyAlignment="1">
      <x:alignment wrapText="1"/>
    </x:xf>
    <x:xf numFmtId="205" fontId="0" fillId="0" borderId="5" xfId="0" applyNumberFormat="1" applyFont="1" applyFill="1" applyBorder="1" applyAlignment="1">
      <x:alignment wrapText="1"/>
    </x:xf>
    <x:xf numFmtId="205" fontId="0" fillId="0" borderId="6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0" borderId="9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0" borderId="12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0" borderId="14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3c03634b2426e" /><Relationship Type="http://schemas.openxmlformats.org/officeDocument/2006/relationships/theme" Target="/xl/theme/theme1.xml" Id="Ra68c903bab384f76" /><Relationship Type="http://schemas.openxmlformats.org/officeDocument/2006/relationships/sharedStrings" Target="/xl/sharedStrings.xml" Id="R4917342860ec43a9" /><Relationship Type="http://schemas.openxmlformats.org/officeDocument/2006/relationships/worksheet" Target="/xl/worksheets/sheet1.xml" Id="R136a3d4881084b45" /><Relationship Type="http://schemas.openxmlformats.org/officeDocument/2006/relationships/worksheet" Target="/xl/worksheets/sheet2.xml" Id="Rbac2357633b74b43" /><Relationship Type="http://schemas.openxmlformats.org/officeDocument/2006/relationships/worksheet" Target="/xl/worksheets/sheet3.xml" Id="R32f8f3154d24456a" /><Relationship Type="http://schemas.openxmlformats.org/officeDocument/2006/relationships/worksheet" Target="/xl/worksheets/sheet4.xml" Id="Red0ecd77b98b4ec6" /><Relationship Type="http://schemas.openxmlformats.org/officeDocument/2006/relationships/worksheet" Target="/xl/worksheets/sheet5.xml" Id="Rf9091a9a3b8746ad" /><Relationship Type="http://schemas.openxmlformats.org/officeDocument/2006/relationships/worksheet" Target="/xl/worksheets/sheet6.xml" Id="R4f770567a48c4fcd" /><Relationship Type="http://schemas.openxmlformats.org/officeDocument/2006/relationships/worksheet" Target="/xl/worksheets/sheet7.xml" Id="R5f62138873784716" /><Relationship Type="http://schemas.openxmlformats.org/officeDocument/2006/relationships/worksheet" Target="/xl/worksheets/sheet8.xml" Id="R8999bf30a155462e" /><Relationship Type="http://schemas.microsoft.com/office/2017/10/relationships/person" Target="/xl/persons/person.xml" Id="Re0e1945e4566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1e07e3046e4543" /><Relationship Type="http://schemas.openxmlformats.org/officeDocument/2006/relationships/chart" Target="/xl/drawings/charts/chart2.xml" Id="R2c3a58e3bb03450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3832af5888ea4d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Weighted Supplier Score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Weighted Score</c:v>
          </c:tx>
          <c:dLbls/>
          <c:cat>
            <c:strRef>
              <c:f>'Dashboard'!$A$15:$A$24</c:f>
              <c:strCache>
                <c:ptCount val="0"/>
              </c:strCache>
            </c:strRef>
          </c:cat>
          <c:val>
            <c:numRef>
              <c:f>'Dashboard'!$B$15:$B$24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Landed Estimate by Supplier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Series 1</c:v>
          </c:tx>
          <c:dLbls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1e07e3046e4543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3a58e3bb03450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0</xdr:colOff>
      <xdr:row>3</xdr:row>
      <xdr:rowOff>0</xdr:rowOff>
    </xdr:from>
    <xdr:ext cx="1619250" cy="2143125"/>
    <xdr:pic>
      <xdr:nvPicPr>
        <xdr:cNvPr id="1" name="98651bea-49e3-4343-ae97-1142e15f07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32af5888ea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CF5645AC-FB53-422D-BED4-70A95EBFCC47}"/>
</xltc:personList>
</file>

<file path=xl/tables/table1.xml><?xml version="1.0" encoding="utf-8"?>
<x:table xmlns:x="http://schemas.openxmlformats.org/spreadsheetml/2006/main" id="2" name="RFQTrackerTable" displayName="RFQTrackerTable" ref="A4:AH14" headerRowCount="1" totalsRowCount="0" totalsRowShown="0">
  <x:tableColumns count="34">
    <x:tableColumn id="1" name="Supplier"/>
    <x:tableColumn id="2" name="Contact / Rep"/>
    <x:tableColumn id="3" name="Channel"/>
    <x:tableColumn id="4" name="Status"/>
    <x:tableColumn id="5" name="Priority"/>
    <x:tableColumn id="6" name="RFQ Sent"/>
    <x:tableColumn id="7" name="Response Due"/>
    <x:tableColumn id="8" name="Last Contact"/>
    <x:tableColumn id="9" name="Follow-up Due"/>
    <x:tableColumn id="10" name="Base Quote"/>
    <x:tableColumn id="11" name="IGI Fee"/>
    <x:tableColumn id="12" name="CAD Fee"/>
    <x:tableColumn id="13" name="Shipping"/>
    <x:tableColumn id="14" name="Duty Reserve"/>
    <x:tableColumn id="15" name="Landed Est."/>
    <x:tableColumn id="16" name="Lead Days"/>
    <x:tableColumn id="17" name="Price Score"/>
    <x:tableColumn id="18" name="Quality Score"/>
    <x:tableColumn id="19" name="Spec Score"/>
    <x:tableColumn id="20" name="Cert Score"/>
    <x:tableColumn id="21" name="Comm Score"/>
    <x:tableColumn id="22" name="Payment Score"/>
    <x:tableColumn id="23" name="Timeline Score"/>
    <x:tableColumn id="24" name="Weighted Score"/>
    <x:tableColumn id="25" name="Cert Required"/>
    <x:tableColumn id="26" name="IGI Report #"/>
    <x:tableColumn id="27" name="Cert Verified"/>
    <x:tableColumn id="28" name="CAD Received"/>
    <x:tableColumn id="29" name="Stone Video"/>
    <x:tableColumn id="30" name="QC Passed"/>
    <x:tableColumn id="31" name="Risk Flags"/>
    <x:tableColumn id="32" name="Notes"/>
    <x:tableColumn id="33" name="Conversation Log"/>
    <x:tableColumn id="3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uppliersTable" displayName="SuppliersTable" ref="A4:N14" headerRowCount="1" totalsRowCount="0" totalsRowShown="0">
  <x:tableColumns count="14">
    <x:tableColumn id="1" name="Rank"/>
    <x:tableColumn id="2" name="Supplier"/>
    <x:tableColumn id="3" name="Shortlist"/>
    <x:tableColumn id="4" name="Type"/>
    <x:tableColumn id="5" name="Quote Role"/>
    <x:tableColumn id="6" name="Best Use"/>
    <x:tableColumn id="7" name="Expected Price"/>
    <x:tableColumn id="8" name="Sentiment"/>
    <x:tableColumn id="9" name="Cert Confidence"/>
    <x:tableColumn id="10" name="Payment Protection"/>
    <x:tableColumn id="11" name="Trade Assurance"/>
    <x:tableColumn id="12" name="Risk"/>
    <x:tableColumn id="13" name="First Ask"/>
    <x:tableColumn id="1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LogTable" displayName="ReviewLogTable" ref="A4:F14" headerRowCount="1" totalsRowCount="0" totalsRowShown="0">
  <x:tableColumns count="6">
    <x:tableColumn id="1" name="Supplier"/>
    <x:tableColumn id="2" name="Platform"/>
    <x:tableColumn id="3" name="Sentiment"/>
    <x:tableColumn id="4" name="Score"/>
    <x:tableColumn id="5" name="Note"/>
    <x:tableColumn id="6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BankTable" displayName="QuestionBankTable" ref="A4:D14" headerRowCount="1" totalsRowCount="0" totalsRowShown="0">
  <x:tableColumns count="4">
    <x:tableColumn id="1" name="Stage"/>
    <x:tableColumn id="2" name="Priority"/>
    <x:tableColumn id="3" name="Question"/>
    <x:tableColumn id="4" name="Why It Matt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CChecklistTable" displayName="QCChecklistTable" ref="A4:D15" headerRowCount="1" totalsRowCount="0" totalsRowShown="0">
  <x:tableColumns count="4">
    <x:tableColumn id="1" name="Category"/>
    <x:tableColumn id="2" name="Check"/>
    <x:tableColumn id="3" name="Proof to Request"/>
    <x:tableColumn id="4" name="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6b28da4d8c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0cc02b0b9b40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94d34a059c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b39c152aa54b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7eb0f94eea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6de1f4ae7749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350259e43d747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4" hidden="0" customWidth="1"/>
    <x:col min="5" max="5" width="4" hidden="0" customWidth="1"/>
    <x:col min="6" max="6" width="4" hidden="0" customWidth="1"/>
    <x:col min="7" max="7" width="22" hidden="0" customWidth="1"/>
    <x:col min="8" max="8" width="16" hidden="0" customWidth="1"/>
    <x:col min="9" max="9" width="16" hidden="0" customWidth="1"/>
    <x:col min="10" max="10" width="4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5.5" customHeight="1">
      <x:c r="A1" s="2" t="str">
        <x:v>Necklace RFQ Dashboard</x:v>
      </x:c>
      <x:c r="B1" s="2" t="str">
        <x:v>Necklace RFQ Dashboard</x:v>
      </x:c>
      <x:c r="C1" s="2" t="str">
        <x:v>Necklace RFQ Dashboard</x:v>
      </x:c>
      <x:c r="D1" s="2" t="str">
        <x:v>Necklace RFQ Dashboard</x:v>
      </x:c>
      <x:c r="E1" s="2" t="str">
        <x:v>Necklace RFQ Dashboard</x:v>
      </x:c>
      <x:c r="F1" s="2" t="str">
        <x:v>Necklace RFQ Dashboard</x:v>
      </x:c>
      <x:c r="G1" s="2" t="str">
        <x:v>Necklace RFQ Dashboard</x:v>
      </x:c>
      <x:c r="H1" s="2" t="str">
        <x:v>Necklace RFQ Dashboard</x:v>
      </x:c>
      <x:c r="I1" s="2" t="str">
        <x:v>Necklace RFQ Dashboard</x:v>
      </x:c>
      <x:c r="J1" s="2" t="str">
        <x:v>Necklace RFQ Dashboard</x:v>
      </x:c>
      <x:c r="K1" s="2" t="str">
        <x:v>Necklace RFQ Dashboard</x:v>
      </x:c>
      <x:c r="L1" s="2" t="str">
        <x:v>Necklace RFQ Dashboard</x:v>
      </x:c>
      <x:c r="M1" s="2" t="str">
        <x:v>Necklace RFQ Dashboard</x:v>
      </x:c>
      <x:c r="N1" s="2" t="str">
        <x:v>Necklace RFQ Dashboard</x:v>
      </x:c>
    </x:row>
    <x:row r="2" ht="21" customHeight="1">
      <x:c r="A2" s="3" t="str">
        <x:v>Summary formulas read from RFQ Tracker and Suppliers.</x:v>
      </x:c>
      <x:c r="B2" s="3" t="str">
        <x:v>Summary formulas read from RFQ Tracker and Suppliers.</x:v>
      </x:c>
      <x:c r="C2" s="3" t="str">
        <x:v>Summary formulas read from RFQ Tracker and Suppliers.</x:v>
      </x:c>
      <x:c r="D2" s="3" t="str">
        <x:v>Summary formulas read from RFQ Tracker and Suppliers.</x:v>
      </x:c>
      <x:c r="E2" s="3" t="str">
        <x:v>Summary formulas read from RFQ Tracker and Suppliers.</x:v>
      </x:c>
      <x:c r="F2" s="3" t="str">
        <x:v>Summary formulas read from RFQ Tracker and Suppliers.</x:v>
      </x:c>
      <x:c r="G2" s="3" t="str">
        <x:v>Summary formulas read from RFQ Tracker and Suppliers.</x:v>
      </x:c>
      <x:c r="H2" s="3" t="str">
        <x:v>Summary formulas read from RFQ Tracker and Suppliers.</x:v>
      </x:c>
      <x:c r="I2" s="3" t="str">
        <x:v>Summary formulas read from RFQ Tracker and Suppliers.</x:v>
      </x:c>
      <x:c r="J2" s="3" t="str">
        <x:v>Summary formulas read from RFQ Tracker and Suppliers.</x:v>
      </x:c>
      <x:c r="K2" s="3" t="str">
        <x:v>Summary formulas read from RFQ Tracker and Suppliers.</x:v>
      </x:c>
      <x:c r="L2" s="3" t="str">
        <x:v>Summary formulas read from RFQ Tracker and Suppliers.</x:v>
      </x:c>
      <x:c r="M2" s="3" t="str">
        <x:v>Summary formulas read from RFQ Tracker and Suppliers.</x:v>
      </x:c>
      <x:c r="N2" s="3" t="str">
        <x:v>Summary formulas read from RFQ Tracker and Suppliers.</x:v>
      </x:c>
    </x:row>
    <x:row r="4">
      <x:c r="A4" s="6" t="str">
        <x:v>Metric</x:v>
      </x:c>
      <x:c r="B4" s="7" t="str">
        <x:v>Value</x:v>
      </x:c>
      <x:c r="C4" s="8" t="str">
        <x:v>Formula / Meaning</x:v>
      </x:c>
      <x:c r="L4" s="38" t="str">
        <x:v>Decision posture: pick the best written, verified, comparable quote, not simply the cheapest.</x:v>
      </x:c>
      <x:c r="M4" s="39"/>
      <x:c r="N4" s="40"/>
    </x:row>
    <x:row r="5">
      <x:c r="A5" s="12" t="str">
        <x:v>Total suppliers tracked</x:v>
      </x:c>
      <x:c r="B5" s="34" t="n">
        <x:f>COUNTA('Suppliers'!$B$5:$B$14)</x:f>
        <x:v>10</x:v>
      </x:c>
      <x:c r="C5" s="12" t="str">
        <x:v>Supplier list rows</x:v>
      </x:c>
      <x:c r="L5" s="41" t="str">
        <x:v>Main control point: IGI certificate/report number matters most for the pear stone, not the small round accent.</x:v>
      </x:c>
      <x:c r="M5" s="37"/>
      <x:c r="N5" s="42"/>
    </x:row>
    <x:row r="6">
      <x:c r="A6" s="13" t="str">
        <x:v>First-wave suppliers</x:v>
      </x:c>
      <x:c r="B6" s="35" t="n">
        <x:f>COUNTIF('Suppliers'!$C$5:$C$14,"Yes")</x:f>
        <x:v>6</x:v>
      </x:c>
      <x:c r="C6" s="13" t="str">
        <x:v>Suppliers to quote first</x:v>
      </x:c>
      <x:c r="L6" s="41" t="str">
        <x:v>Import reserve is an editable estimate; confirm current duty/tax/carrier fee treatment before buying.</x:v>
      </x:c>
      <x:c r="M6" s="37"/>
      <x:c r="N6" s="42"/>
    </x:row>
    <x:row r="7">
      <x:c r="A7" s="13" t="str">
        <x:v>Quotes with landed estimate</x:v>
      </x:c>
      <x:c r="B7" s="35" t="n">
        <x:f>COUNT('RFQ Tracker'!$O$5:$O$34)</x:f>
        <x:v>0</x:v>
      </x:c>
      <x:c r="C7" s="13" t="str">
        <x:v>Rows with base quote entered</x:v>
      </x:c>
      <x:c r="L7" s="41" t="str">
        <x:v>Source posture: Reddit/community sentiment is directional and should be updated with your own quote experience.</x:v>
      </x:c>
      <x:c r="M7" s="37"/>
      <x:c r="N7" s="42"/>
    </x:row>
    <x:row r="8">
      <x:c r="A8" s="13" t="str">
        <x:v>Lowest landed estimate</x:v>
      </x:c>
      <x:c r="B8" s="26" t="str">
        <x:f>IF(COUNT('RFQ Tracker'!$O$5:$O$34)=0,"",MIN('RFQ Tracker'!$O$5:$O$34))</x:f>
      </x:c>
      <x:c r="C8" s="13" t="str">
        <x:v>Quote + fees + duty/tax reserve</x:v>
      </x:c>
      <x:c r="L8" s="41" t="str">
        <x:v>First-wave send list: Tianyu, Paston, Fiorese, LGG, Provence, StarsGem.</x:v>
      </x:c>
      <x:c r="M8" s="37"/>
      <x:c r="N8" s="42"/>
    </x:row>
    <x:row r="9">
      <x:c r="A9" s="13" t="str">
        <x:v>Highest weighted score</x:v>
      </x:c>
      <x:c r="B9" s="31" t="n">
        <x:f>IFERROR(MAX('RFQ Tracker'!$X$5:$X$34),"")</x:f>
        <x:v>4.24</x:v>
      </x:c>
      <x:c r="C9" s="13" t="str">
        <x:v>Best current weighted score</x:v>
      </x:c>
      <x:c r="L9" s="41" t="str">
        <x:v>Next action: send RFQ, then fill quote, lead-time, certificate, communication, and QC proof fields.</x:v>
      </x:c>
      <x:c r="M9" s="37"/>
      <x:c r="N9" s="42"/>
    </x:row>
    <x:row r="10">
      <x:c r="A10" s="13" t="str">
        <x:v>Best current supplier</x:v>
      </x:c>
      <x:c r="B10" s="13" t="str">
        <x:f>IFERROR(INDEX('RFQ Tracker'!$A$5:$A$34,MATCH(MAX('RFQ Tracker'!$X$5:$X$34),'RFQ Tracker'!$X$5:$X$34,0)),"")</x:f>
        <x:v>Tianyu Gems</x:v>
      </x:c>
      <x:c r="C10" s="13" t="str">
        <x:v>Updates as scores change</x:v>
      </x:c>
      <x:c r="L10" s="43" t="str"/>
      <x:c r="M10" s="44"/>
      <x:c r="N10" s="45"/>
    </x:row>
    <x:row r="11">
      <x:c r="A11" s="14" t="str">
        <x:v>Open certificate gaps</x:v>
      </x:c>
      <x:c r="B11" s="36" t="n">
        <x:f>COUNTIFS('RFQ Tracker'!$Y$5:$Y$34,"Yes",'RFQ Tracker'!$AA$5:$AA$34,"&lt;&gt;Yes")</x:f>
        <x:v>10</x:v>
      </x:c>
      <x:c r="C11" s="14" t="str">
        <x:v>Rows needing cert verification</x:v>
      </x:c>
    </x:row>
    <x:row r="14">
      <x:c r="A14" s="6" t="str">
        <x:v>Supplier</x:v>
      </x:c>
      <x:c r="B14" s="7" t="str">
        <x:v>Weighted Score</x:v>
      </x:c>
      <x:c r="C14" s="8" t="str">
        <x:v>Landed Estimate</x:v>
      </x:c>
    </x:row>
    <x:row r="15">
      <x:c r="A15" s="12" t="str">
        <x:f>'RFQ Tracker'!A5</x:f>
        <x:v>Tianyu Gems</x:v>
      </x:c>
      <x:c r="B15" s="30" t="n">
        <x:f>'RFQ Tracker'!X5</x:f>
        <x:v>4.24</x:v>
      </x:c>
      <x:c r="C15" s="25" t="n">
        <x:f>'RFQ Tracker'!O5</x:f>
        <x:v>0</x:v>
      </x:c>
    </x:row>
    <x:row r="16">
      <x:c r="A16" s="13" t="str">
        <x:f>'RFQ Tracker'!A6</x:f>
        <x:v>Paston Jewelry</x:v>
      </x:c>
      <x:c r="B16" s="31" t="n">
        <x:f>'RFQ Tracker'!X6</x:f>
        <x:v>4.17</x:v>
      </x:c>
      <x:c r="C16" s="26" t="n">
        <x:f>'RFQ Tracker'!O6</x:f>
        <x:v>0</x:v>
      </x:c>
    </x:row>
    <x:row r="17">
      <x:c r="A17" s="13" t="str">
        <x:f>'RFQ Tracker'!A7</x:f>
        <x:v>Fiorese Jewelry</x:v>
      </x:c>
      <x:c r="B17" s="31" t="n">
        <x:f>'RFQ Tracker'!X7</x:f>
        <x:v>4.1</x:v>
      </x:c>
      <x:c r="C17" s="26" t="n">
        <x:f>'RFQ Tracker'!O7</x:f>
        <x:v>0</x:v>
      </x:c>
    </x:row>
    <x:row r="18">
      <x:c r="A18" s="13" t="str">
        <x:f>'RFQ Tracker'!A8</x:f>
        <x:v>LGG Jewelry / Igg Jewelry</x:v>
      </x:c>
      <x:c r="B18" s="31" t="n">
        <x:f>'RFQ Tracker'!X8</x:f>
        <x:v>3.89</x:v>
      </x:c>
      <x:c r="C18" s="26" t="n">
        <x:f>'RFQ Tracker'!O8</x:f>
        <x:v>0</x:v>
      </x:c>
    </x:row>
    <x:row r="19">
      <x:c r="A19" s="13" t="str">
        <x:f>'RFQ Tracker'!A9</x:f>
        <x:v>Provence Gems</x:v>
      </x:c>
      <x:c r="B19" s="31" t="n">
        <x:f>'RFQ Tracker'!X9</x:f>
        <x:v>3.72</x:v>
      </x:c>
      <x:c r="C19" s="26" t="n">
        <x:f>'RFQ Tracker'!O9</x:f>
        <x:v>0</x:v>
      </x:c>
    </x:row>
    <x:row r="20">
      <x:c r="A20" s="13" t="str">
        <x:f>'RFQ Tracker'!A10</x:f>
        <x:v>StarsGem</x:v>
      </x:c>
      <x:c r="B20" s="31" t="n">
        <x:f>'RFQ Tracker'!X10</x:f>
        <x:v>3.53</x:v>
      </x:c>
      <x:c r="C20" s="26" t="n">
        <x:f>'RFQ Tracker'!O10</x:f>
        <x:v>0</x:v>
      </x:c>
    </x:row>
    <x:row r="21">
      <x:c r="A21" s="13" t="str">
        <x:f>'RFQ Tracker'!A11</x:f>
        <x:v>Mona Fine Jewelry</x:v>
      </x:c>
      <x:c r="B21" s="31" t="n">
        <x:f>'RFQ Tracker'!X11</x:f>
        <x:v>3.36</x:v>
      </x:c>
      <x:c r="C21" s="26" t="n">
        <x:f>'RFQ Tracker'!O11</x:f>
        <x:v>0</x:v>
      </x:c>
    </x:row>
    <x:row r="22">
      <x:c r="A22" s="13" t="str">
        <x:f>'RFQ Tracker'!A12</x:f>
        <x:v>Kuololit</x:v>
      </x:c>
      <x:c r="B22" s="31" t="n">
        <x:f>'RFQ Tracker'!X12</x:f>
        <x:v>2.98</x:v>
      </x:c>
      <x:c r="C22" s="26" t="n">
        <x:f>'RFQ Tracker'!O12</x:f>
        <x:v>0</x:v>
      </x:c>
    </x:row>
    <x:row r="23">
      <x:c r="A23" s="13" t="str">
        <x:f>'RFQ Tracker'!A13</x:f>
        <x:v>Messi Gems</x:v>
      </x:c>
      <x:c r="B23" s="31" t="n">
        <x:f>'RFQ Tracker'!X13</x:f>
        <x:v>3.09</x:v>
      </x:c>
      <x:c r="C23" s="26" t="n">
        <x:f>'RFQ Tracker'!O13</x:f>
        <x:v>0</x:v>
      </x:c>
    </x:row>
    <x:row r="24">
      <x:c r="A24" s="14" t="str">
        <x:f>'RFQ Tracker'!A14</x:f>
        <x:v>Ouros / Goldenbird</x:v>
      </x:c>
      <x:c r="B24" s="32" t="n">
        <x:f>'RFQ Tracker'!X14</x:f>
        <x:v>2.8</x:v>
      </x:c>
      <x:c r="C24" s="27" t="n">
        <x:f>'RFQ Tracker'!O14</x:f>
        <x:v>0</x:v>
      </x:c>
    </x:row>
  </x:sheetData>
  <x:mergeCells>
    <x:mergeCell ref="A1:N1"/>
    <x:mergeCell ref="A2:N2"/>
    <x:mergeCell ref="L4:N4"/>
    <x:mergeCell ref="L5:N5"/>
    <x:mergeCell ref="L6:N6"/>
    <x:mergeCell ref="L7:N7"/>
    <x:mergeCell ref="L8:N8"/>
    <x:mergeCell ref="L9:N9"/>
    <x:mergeCell ref="L10:N10"/>
  </x:mergeCells>
  <x:pageMargins left="0.7" right="0.7" top="0.75" bottom="0.75" header="0.3" footer="0.3"/>
  <x:drawing xmlns:r="http://schemas.openxmlformats.org/officeDocument/2006/relationships" r:id="R656b28da4d8c4f3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16" hidden="0" customWidth="1"/>
    <x:col min="5" max="5" width="9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2" hidden="0" customWidth="1"/>
    <x:col min="16" max="16" width="10" hidden="0" customWidth="1"/>
    <x:col min="17" max="17" width="11" hidden="0" customWidth="1"/>
    <x:col min="18" max="18" width="12" hidden="0" customWidth="1"/>
    <x:col min="19" max="19" width="11" hidden="0" customWidth="1"/>
    <x:col min="20" max="20" width="11" hidden="0" customWidth="1"/>
    <x:col min="21" max="21" width="11" hidden="0" customWidth="1"/>
    <x:col min="22" max="22" width="12" hidden="0" customWidth="1"/>
    <x:col min="23" max="23" width="12" hidden="0" customWidth="1"/>
    <x:col min="24" max="24" width="13" hidden="0" customWidth="1"/>
    <x:col min="25" max="25" width="12" hidden="0" customWidth="1"/>
    <x:col min="26" max="26" width="16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42" hidden="0" customWidth="1"/>
    <x:col min="32" max="32" width="42" hidden="0" customWidth="1"/>
    <x:col min="33" max="33" width="58" hidden="0" customWidth="1"/>
    <x:col min="34" max="34" width="42" hidden="0" customWidth="1"/>
  </x:cols>
  <x:sheetData>
    <x:row r="1" ht="25.5" customHeight="1">
      <x:c r="A1" s="2" t="str">
        <x:v>RFQ Tracker</x:v>
      </x:c>
      <x:c r="B1" s="2" t="str">
        <x:v>RFQ Tracker</x:v>
      </x:c>
      <x:c r="C1" s="2" t="str">
        <x:v>RFQ Tracker</x:v>
      </x:c>
      <x:c r="D1" s="2" t="str">
        <x:v>RFQ Tracker</x:v>
      </x:c>
      <x:c r="E1" s="2" t="str">
        <x:v>RFQ Tracker</x:v>
      </x:c>
      <x:c r="F1" s="2" t="str">
        <x:v>RFQ Tracker</x:v>
      </x:c>
      <x:c r="G1" s="2" t="str">
        <x:v>RFQ Tracker</x:v>
      </x:c>
      <x:c r="H1" s="2" t="str">
        <x:v>RFQ Tracker</x:v>
      </x:c>
      <x:c r="I1" s="2" t="str">
        <x:v>RFQ Tracker</x:v>
      </x:c>
      <x:c r="J1" s="2" t="str">
        <x:v>RFQ Tracker</x:v>
      </x:c>
      <x:c r="K1" s="2" t="str">
        <x:v>RFQ Tracker</x:v>
      </x:c>
      <x:c r="L1" s="2" t="str">
        <x:v>RFQ Tracker</x:v>
      </x:c>
      <x:c r="M1" s="2" t="str">
        <x:v>RFQ Tracker</x:v>
      </x:c>
      <x:c r="N1" s="2" t="str">
        <x:v>RFQ Tracker</x:v>
      </x:c>
      <x:c r="O1" s="2" t="str">
        <x:v>RFQ Tracker</x:v>
      </x:c>
      <x:c r="P1" s="2" t="str">
        <x:v>RFQ Tracker</x:v>
      </x:c>
      <x:c r="Q1" s="2" t="str">
        <x:v>RFQ Tracker</x:v>
      </x:c>
      <x:c r="R1" s="2" t="str">
        <x:v>RFQ Tracker</x:v>
      </x:c>
      <x:c r="S1" s="2" t="str">
        <x:v>RFQ Tracker</x:v>
      </x:c>
      <x:c r="T1" s="2" t="str">
        <x:v>RFQ Tracker</x:v>
      </x:c>
      <x:c r="U1" s="2" t="str">
        <x:v>RFQ Tracker</x:v>
      </x:c>
      <x:c r="V1" s="2" t="str">
        <x:v>RFQ Tracker</x:v>
      </x:c>
      <x:c r="W1" s="2" t="str">
        <x:v>RFQ Tracker</x:v>
      </x:c>
      <x:c r="X1" s="2" t="str">
        <x:v>RFQ Tracker</x:v>
      </x:c>
      <x:c r="Y1" s="2" t="str">
        <x:v>RFQ Tracker</x:v>
      </x:c>
      <x:c r="Z1" s="2" t="str">
        <x:v>RFQ Tracker</x:v>
      </x:c>
      <x:c r="AA1" s="2" t="str">
        <x:v>RFQ Tracker</x:v>
      </x:c>
      <x:c r="AB1" s="2" t="str">
        <x:v>RFQ Tracker</x:v>
      </x:c>
      <x:c r="AC1" s="2" t="str">
        <x:v>RFQ Tracker</x:v>
      </x:c>
      <x:c r="AD1" s="2" t="str">
        <x:v>RFQ Tracker</x:v>
      </x:c>
      <x:c r="AE1" s="2" t="str">
        <x:v>RFQ Tracker</x:v>
      </x:c>
      <x:c r="AF1" s="2" t="str">
        <x:v>RFQ Tracker</x:v>
      </x:c>
      <x:c r="AG1" s="2" t="str">
        <x:v>RFQ Tracker</x:v>
      </x:c>
      <x:c r="AH1" s="2" t="str">
        <x:v>RFQ Tracker</x:v>
      </x:c>
    </x:row>
    <x:row r="2" ht="21" customHeight="1">
      <x:c r="A2" s="3" t="str">
        <x:v>Enter quotes and supplier answers here; score and landed estimate update automatically.</x:v>
      </x:c>
      <x:c r="B2" s="3" t="str">
        <x:v>Enter quotes and supplier answers here; score and landed estimate update automatically.</x:v>
      </x:c>
      <x:c r="C2" s="3" t="str">
        <x:v>Enter quotes and supplier answers here; score and landed estimate update automatically.</x:v>
      </x:c>
      <x:c r="D2" s="3" t="str">
        <x:v>Enter quotes and supplier answers here; score and landed estimate update automatically.</x:v>
      </x:c>
      <x:c r="E2" s="3" t="str">
        <x:v>Enter quotes and supplier answers here; score and landed estimate update automatically.</x:v>
      </x:c>
      <x:c r="F2" s="3" t="str">
        <x:v>Enter quotes and supplier answers here; score and landed estimate update automatically.</x:v>
      </x:c>
      <x:c r="G2" s="3" t="str">
        <x:v>Enter quotes and supplier answers here; score and landed estimate update automatically.</x:v>
      </x:c>
      <x:c r="H2" s="3" t="str">
        <x:v>Enter quotes and supplier answers here; score and landed estimate update automatically.</x:v>
      </x:c>
      <x:c r="I2" s="3" t="str">
        <x:v>Enter quotes and supplier answers here; score and landed estimate update automatically.</x:v>
      </x:c>
      <x:c r="J2" s="3" t="str">
        <x:v>Enter quotes and supplier answers here; score and landed estimate update automatically.</x:v>
      </x:c>
      <x:c r="K2" s="3" t="str">
        <x:v>Enter quotes and supplier answers here; score and landed estimate update automatically.</x:v>
      </x:c>
      <x:c r="L2" s="3" t="str">
        <x:v>Enter quotes and supplier answers here; score and landed estimate update automatically.</x:v>
      </x:c>
      <x:c r="M2" s="3" t="str">
        <x:v>Enter quotes and supplier answers here; score and landed estimate update automatically.</x:v>
      </x:c>
      <x:c r="N2" s="3" t="str">
        <x:v>Enter quotes and supplier answers here; score and landed estimate update automatically.</x:v>
      </x:c>
      <x:c r="O2" s="3" t="str">
        <x:v>Enter quotes and supplier answers here; score and landed estimate update automatically.</x:v>
      </x:c>
      <x:c r="P2" s="3" t="str">
        <x:v>Enter quotes and supplier answers here; score and landed estimate update automatically.</x:v>
      </x:c>
      <x:c r="Q2" s="3" t="str">
        <x:v>Enter quotes and supplier answers here; score and landed estimate update automatically.</x:v>
      </x:c>
      <x:c r="R2" s="3" t="str">
        <x:v>Enter quotes and supplier answers here; score and landed estimate update automatically.</x:v>
      </x:c>
      <x:c r="S2" s="3" t="str">
        <x:v>Enter quotes and supplier answers here; score and landed estimate update automatically.</x:v>
      </x:c>
      <x:c r="T2" s="3" t="str">
        <x:v>Enter quotes and supplier answers here; score and landed estimate update automatically.</x:v>
      </x:c>
      <x:c r="U2" s="3" t="str">
        <x:v>Enter quotes and supplier answers here; score and landed estimate update automatically.</x:v>
      </x:c>
      <x:c r="V2" s="3" t="str">
        <x:v>Enter quotes and supplier answers here; score and landed estimate update automatically.</x:v>
      </x:c>
      <x:c r="W2" s="3" t="str">
        <x:v>Enter quotes and supplier answers here; score and landed estimate update automatically.</x:v>
      </x:c>
      <x:c r="X2" s="3" t="str">
        <x:v>Enter quotes and supplier answers here; score and landed estimate update automatically.</x:v>
      </x:c>
      <x:c r="Y2" s="3" t="str">
        <x:v>Enter quotes and supplier answers here; score and landed estimate update automatically.</x:v>
      </x:c>
      <x:c r="Z2" s="3" t="str">
        <x:v>Enter quotes and supplier answers here; score and landed estimate update automatically.</x:v>
      </x:c>
      <x:c r="AA2" s="3" t="str">
        <x:v>Enter quotes and supplier answers here; score and landed estimate update automatically.</x:v>
      </x:c>
      <x:c r="AB2" s="3" t="str">
        <x:v>Enter quotes and supplier answers here; score and landed estimate update automatically.</x:v>
      </x:c>
      <x:c r="AC2" s="3" t="str">
        <x:v>Enter quotes and supplier answers here; score and landed estimate update automatically.</x:v>
      </x:c>
      <x:c r="AD2" s="3" t="str">
        <x:v>Enter quotes and supplier answers here; score and landed estimate update automatically.</x:v>
      </x:c>
      <x:c r="AE2" s="3" t="str">
        <x:v>Enter quotes and supplier answers here; score and landed estimate update automatically.</x:v>
      </x:c>
      <x:c r="AF2" s="3" t="str">
        <x:v>Enter quotes and supplier answers here; score and landed estimate update automatically.</x:v>
      </x:c>
      <x:c r="AG2" s="3" t="str">
        <x:v>Enter quotes and supplier answers here; score and landed estimate update automatically.</x:v>
      </x:c>
      <x:c r="AH2" s="3" t="str">
        <x:v>Enter quotes and supplier answers here; score and landed estimate update automatically.</x:v>
      </x:c>
    </x:row>
    <x:row r="4">
      <x:c r="A4" s="6" t="str">
        <x:v>Supplier</x:v>
      </x:c>
      <x:c r="B4" s="7" t="str">
        <x:v>Contact / Rep</x:v>
      </x:c>
      <x:c r="C4" s="7" t="str">
        <x:v>Channel</x:v>
      </x:c>
      <x:c r="D4" s="7" t="str">
        <x:v>Status</x:v>
      </x:c>
      <x:c r="E4" s="7" t="str">
        <x:v>Priority</x:v>
      </x:c>
      <x:c r="F4" s="7" t="str">
        <x:v>RFQ Sent</x:v>
      </x:c>
      <x:c r="G4" s="7" t="str">
        <x:v>Response Due</x:v>
      </x:c>
      <x:c r="H4" s="7" t="str">
        <x:v>Last Contact</x:v>
      </x:c>
      <x:c r="I4" s="7" t="str">
        <x:v>Follow-up Due</x:v>
      </x:c>
      <x:c r="J4" s="7" t="str">
        <x:v>Base Quote</x:v>
      </x:c>
      <x:c r="K4" s="7" t="str">
        <x:v>IGI Fee</x:v>
      </x:c>
      <x:c r="L4" s="7" t="str">
        <x:v>CAD Fee</x:v>
      </x:c>
      <x:c r="M4" s="7" t="str">
        <x:v>Shipping</x:v>
      </x:c>
      <x:c r="N4" s="7" t="str">
        <x:v>Duty Reserve</x:v>
      </x:c>
      <x:c r="O4" s="7" t="str">
        <x:v>Landed Est.</x:v>
      </x:c>
      <x:c r="P4" s="7" t="str">
        <x:v>Lead Days</x:v>
      </x:c>
      <x:c r="Q4" s="7" t="str">
        <x:v>Price Score</x:v>
      </x:c>
      <x:c r="R4" s="7" t="str">
        <x:v>Quality Score</x:v>
      </x:c>
      <x:c r="S4" s="7" t="str">
        <x:v>Spec Score</x:v>
      </x:c>
      <x:c r="T4" s="7" t="str">
        <x:v>Cert Score</x:v>
      </x:c>
      <x:c r="U4" s="7" t="str">
        <x:v>Comm Score</x:v>
      </x:c>
      <x:c r="V4" s="7" t="str">
        <x:v>Payment Score</x:v>
      </x:c>
      <x:c r="W4" s="7" t="str">
        <x:v>Timeline Score</x:v>
      </x:c>
      <x:c r="X4" s="7" t="str">
        <x:v>Weighted Score</x:v>
      </x:c>
      <x:c r="Y4" s="7" t="str">
        <x:v>Cert Required</x:v>
      </x:c>
      <x:c r="Z4" s="7" t="str">
        <x:v>IGI Report #</x:v>
      </x:c>
      <x:c r="AA4" s="7" t="str">
        <x:v>Cert Verified</x:v>
      </x:c>
      <x:c r="AB4" s="7" t="str">
        <x:v>CAD Received</x:v>
      </x:c>
      <x:c r="AC4" s="7" t="str">
        <x:v>Stone Video</x:v>
      </x:c>
      <x:c r="AD4" s="7" t="str">
        <x:v>QC Passed</x:v>
      </x:c>
      <x:c r="AE4" s="7" t="str">
        <x:v>Risk Flags</x:v>
      </x:c>
      <x:c r="AF4" s="7" t="str">
        <x:v>Notes</x:v>
      </x:c>
      <x:c r="AG4" s="7" t="str">
        <x:v>Conversation Log</x:v>
      </x:c>
      <x:c r="AH4" s="8" t="str">
        <x:v>Source URL</x:v>
      </x:c>
    </x:row>
    <x:row r="5">
      <x:c r="A5" s="12" t="str">
        <x:v>Tianyu Gems</x:v>
      </x:c>
      <x:c r="B5" s="12" t="str"/>
      <x:c r="C5" s="12" t="str">
        <x:v>Website / WhatsApp / Alibaba if available</x:v>
      </x:c>
      <x:c r="D5" s="12" t="str">
        <x:v>Target</x:v>
      </x:c>
      <x:c r="E5" s="12" t="n">
        <x:v>1</x:v>
      </x:c>
      <x:c r="F5" s="21" t="str"/>
      <x:c r="G5" s="21" t="str"/>
      <x:c r="H5" s="21" t="str"/>
      <x:c r="I5" s="21" t="str">
        <x:f>IF(D5="Target","",IF(D5="Backup","",IF(H5="","",H5+3)))</x:f>
      </x:c>
      <x:c r="J5" s="25" t="str"/>
      <x:c r="K5" s="25" t="str"/>
      <x:c r="L5" s="25" t="str"/>
      <x:c r="M5" s="25" t="str"/>
      <x:c r="N5" s="15" t="n">
        <x:v>0.08</x:v>
      </x:c>
      <x:c r="O5" s="25" t="str">
        <x:f>IF(J5="","",SUM(J5:M5)*(1+N5))</x:f>
      </x:c>
      <x:c r="P5" s="12" t="str"/>
      <x:c r="Q5" s="30" t="str">
        <x:f>IF(O5="","",IF(COUNT($O$5:$O$34)&lt;2,3,MAX(1,MIN(5,6-((O5-MIN($O$5:$O$34))/(MAX($O$5:$O$34)-MIN($O$5:$O$34))*4)))))</x:f>
      </x:c>
      <x:c r="R5" s="30" t="n">
        <x:v>4.4</x:v>
      </x:c>
      <x:c r="S5" s="30" t="str"/>
      <x:c r="T5" s="30" t="n">
        <x:v>4.2</x:v>
      </x:c>
      <x:c r="U5" s="30" t="str"/>
      <x:c r="V5" s="30" t="n">
        <x:v>4</x:v>
      </x:c>
      <x:c r="W5" s="30" t="str"/>
      <x:c r="X5" s="30" t="n">
        <x:f>IF(COUNT(Q5:W5)=0,"",ROUND((IF(ISNUMBER(Q5),Q5*'Scoring Rubric'!$B$5,0)+IF(ISNUMBER(R5),R5*'Scoring Rubric'!$B$6,0)+IF(ISNUMBER(S5),S5*'Scoring Rubric'!$B$7,0)+IF(ISNUMBER(T5),T5*'Scoring Rubric'!$B$8,0)+IF(ISNUMBER(U5),U5*'Scoring Rubric'!$B$9,0)+IF(ISNUMBER(V5),V5*'Scoring Rubric'!$B$10,0)+IF(ISNUMBER(W5),W5*'Scoring Rubric'!$B$11,0))/(IF(ISNUMBER(Q5),'Scoring Rubric'!$B$5,0)+IF(ISNUMBER(R5),'Scoring Rubric'!$B$6,0)+IF(ISNUMBER(S5),'Scoring Rubric'!$B$7,0)+IF(ISNUMBER(T5),'Scoring Rubric'!$B$8,0)+IF(ISNUMBER(U5),'Scoring Rubric'!$B$9,0)+IF(ISNUMBER(V5),'Scoring Rubric'!$B$10,0)+IF(ISNUMBER(W5),'Scoring Rubric'!$B$11,0)),2))</x:f>
        <x:v>4.24</x:v>
      </x:c>
      <x:c r="Y5" s="12" t="str">
        <x:v>Yes</x:v>
      </x:c>
      <x:c r="Z5" s="12" t="str"/>
      <x:c r="AA5" s="12" t="str">
        <x:v>No</x:v>
      </x:c>
      <x:c r="AB5" s="12" t="str">
        <x:v>No</x:v>
      </x:c>
      <x:c r="AC5" s="12" t="str">
        <x:v>No</x:v>
      </x:c>
      <x:c r="AD5" s="12" t="str">
        <x:v>No</x:v>
      </x:c>
      <x:c r="AE5" s="12" t="str">
        <x:v>Can cost more than budget factories; confirm chain weight and pear video before deposit.</x:v>
      </x:c>
      <x:c r="AF5" s="12" t="str">
        <x:v>Quote certified and uncertified pear options; request CAD, stone video, finished gold weight, and payment via Alibaba if available.</x:v>
      </x:c>
      <x:c r="AG5" s="12" t="str"/>
      <x:c r="AH5" s="12" t="str">
        <x:v>https://www.tygems.net/</x:v>
      </x:c>
    </x:row>
    <x:row r="6">
      <x:c r="A6" s="13" t="str">
        <x:v>Paston Jewelry</x:v>
      </x:c>
      <x:c r="B6" s="13" t="str"/>
      <x:c r="C6" s="13" t="str">
        <x:v>Alibaba</x:v>
      </x:c>
      <x:c r="D6" s="13" t="str">
        <x:v>Target</x:v>
      </x:c>
      <x:c r="E6" s="13" t="n">
        <x:v>2</x:v>
      </x:c>
      <x:c r="F6" s="22" t="str"/>
      <x:c r="G6" s="22" t="str"/>
      <x:c r="H6" s="22" t="str"/>
      <x:c r="I6" s="22" t="str">
        <x:f>IF(D6="Target","",IF(D6="Backup","",IF(H6="","",H6+3)))</x:f>
      </x:c>
      <x:c r="J6" s="26" t="str"/>
      <x:c r="K6" s="26" t="str"/>
      <x:c r="L6" s="26" t="str"/>
      <x:c r="M6" s="26" t="str"/>
      <x:c r="N6" s="16" t="n">
        <x:v>0.08</x:v>
      </x:c>
      <x:c r="O6" s="26" t="str">
        <x:f>IF(J6="","",SUM(J6:M6)*(1+N6))</x:f>
      </x:c>
      <x:c r="P6" s="13" t="str"/>
      <x:c r="Q6" s="31" t="str">
        <x:f>IF(O6="","",IF(COUNT($O$5:$O$34)&lt;2,3,MAX(1,MIN(5,6-((O6-MIN($O$5:$O$34))/(MAX($O$5:$O$34)-MIN($O$5:$O$34))*4)))))</x:f>
      </x:c>
      <x:c r="R6" s="31" t="n">
        <x:v>4.2</x:v>
      </x:c>
      <x:c r="S6" s="31" t="str"/>
      <x:c r="T6" s="31" t="n">
        <x:v>3.9</x:v>
      </x:c>
      <x:c r="U6" s="31" t="str"/>
      <x:c r="V6" s="31" t="n">
        <x:v>4.5</x:v>
      </x:c>
      <x:c r="W6" s="31" t="str"/>
      <x:c r="X6" s="31" t="n">
        <x:f>IF(COUNT(Q6:W6)=0,"",ROUND((IF(ISNUMBER(Q6),Q6*'Scoring Rubric'!$B$5,0)+IF(ISNUMBER(R6),R6*'Scoring Rubric'!$B$6,0)+IF(ISNUMBER(S6),S6*'Scoring Rubric'!$B$7,0)+IF(ISNUMBER(T6),T6*'Scoring Rubric'!$B$8,0)+IF(ISNUMBER(U6),U6*'Scoring Rubric'!$B$9,0)+IF(ISNUMBER(V6),V6*'Scoring Rubric'!$B$10,0)+IF(ISNUMBER(W6),W6*'Scoring Rubric'!$B$11,0))/(IF(ISNUMBER(Q6),'Scoring Rubric'!$B$5,0)+IF(ISNUMBER(R6),'Scoring Rubric'!$B$6,0)+IF(ISNUMBER(S6),'Scoring Rubric'!$B$7,0)+IF(ISNUMBER(T6),'Scoring Rubric'!$B$8,0)+IF(ISNUMBER(U6),'Scoring Rubric'!$B$9,0)+IF(ISNUMBER(V6),'Scoring Rubric'!$B$10,0)+IF(ISNUMBER(W6),'Scoring Rubric'!$B$11,0)),2))</x:f>
        <x:v>4.17</x:v>
      </x:c>
      <x:c r="Y6" s="13" t="str">
        <x:v>Yes</x:v>
      </x:c>
      <x:c r="Z6" s="13" t="str"/>
      <x:c r="AA6" s="13" t="str">
        <x:v>No</x:v>
      </x:c>
      <x:c r="AB6" s="13" t="str">
        <x:v>No</x:v>
      </x:c>
      <x:c r="AC6" s="13" t="str">
        <x:v>No</x:v>
      </x:c>
      <x:c r="AD6" s="13" t="str">
        <x:v>No</x:v>
      </x:c>
      <x:c r="AE6" s="13" t="str">
        <x:v>Get stone details in writing; do not accept generic certificate images.</x:v>
      </x:c>
      <x:c r="AF6" s="13" t="str">
        <x:v>Use Alibaba RFQ; ask for line-item quote with IGI add-on, chain specs, lead time, and QC milestones.</x:v>
      </x:c>
      <x:c r="AG6" s="13" t="str"/>
      <x:c r="AH6" s="13" t="str">
        <x:v>https://pastonjewelry.en.alibaba.com/</x:v>
      </x:c>
    </x:row>
    <x:row r="7">
      <x:c r="A7" s="13" t="str">
        <x:v>Fiorese Jewelry</x:v>
      </x:c>
      <x:c r="B7" s="13" t="str"/>
      <x:c r="C7" s="13" t="str">
        <x:v>Website / WhatsApp / Alibaba if available</x:v>
      </x:c>
      <x:c r="D7" s="13" t="str">
        <x:v>Target</x:v>
      </x:c>
      <x:c r="E7" s="13" t="n">
        <x:v>3</x:v>
      </x:c>
      <x:c r="F7" s="22" t="str"/>
      <x:c r="G7" s="22" t="str"/>
      <x:c r="H7" s="22" t="str"/>
      <x:c r="I7" s="22" t="str">
        <x:f>IF(D7="Target","",IF(D7="Backup","",IF(H7="","",H7+3)))</x:f>
      </x:c>
      <x:c r="J7" s="26" t="str"/>
      <x:c r="K7" s="26" t="str"/>
      <x:c r="L7" s="26" t="str"/>
      <x:c r="M7" s="26" t="str"/>
      <x:c r="N7" s="16" t="n">
        <x:v>0.08</x:v>
      </x:c>
      <x:c r="O7" s="26" t="str">
        <x:f>IF(J7="","",SUM(J7:M7)*(1+N7))</x:f>
      </x:c>
      <x:c r="P7" s="13" t="str"/>
      <x:c r="Q7" s="31" t="str">
        <x:f>IF(O7="","",IF(COUNT($O$5:$O$34)&lt;2,3,MAX(1,MIN(5,6-((O7-MIN($O$5:$O$34))/(MAX($O$5:$O$34)-MIN($O$5:$O$34))*4)))))</x:f>
      </x:c>
      <x:c r="R7" s="31" t="n">
        <x:v>4.1</x:v>
      </x:c>
      <x:c r="S7" s="31" t="str"/>
      <x:c r="T7" s="31" t="n">
        <x:v>4.5</x:v>
      </x:c>
      <x:c r="U7" s="31" t="str"/>
      <x:c r="V7" s="31" t="n">
        <x:v>3.5</x:v>
      </x:c>
      <x:c r="W7" s="31" t="str"/>
      <x:c r="X7" s="31" t="n">
        <x:f>IF(COUNT(Q7:W7)=0,"",ROUND((IF(ISNUMBER(Q7),Q7*'Scoring Rubric'!$B$5,0)+IF(ISNUMBER(R7),R7*'Scoring Rubric'!$B$6,0)+IF(ISNUMBER(S7),S7*'Scoring Rubric'!$B$7,0)+IF(ISNUMBER(T7),T7*'Scoring Rubric'!$B$8,0)+IF(ISNUMBER(U7),U7*'Scoring Rubric'!$B$9,0)+IF(ISNUMBER(V7),V7*'Scoring Rubric'!$B$10,0)+IF(ISNUMBER(W7),W7*'Scoring Rubric'!$B$11,0))/(IF(ISNUMBER(Q7),'Scoring Rubric'!$B$5,0)+IF(ISNUMBER(R7),'Scoring Rubric'!$B$6,0)+IF(ISNUMBER(S7),'Scoring Rubric'!$B$7,0)+IF(ISNUMBER(T7),'Scoring Rubric'!$B$8,0)+IF(ISNUMBER(U7),'Scoring Rubric'!$B$9,0)+IF(ISNUMBER(V7),'Scoring Rubric'!$B$10,0)+IF(ISNUMBER(W7),'Scoring Rubric'!$B$11,0)),2))</x:f>
        <x:v>4.1</x:v>
      </x:c>
      <x:c r="Y7" s="13" t="str">
        <x:v>Yes</x:v>
      </x:c>
      <x:c r="Z7" s="13" t="str"/>
      <x:c r="AA7" s="13" t="str">
        <x:v>No</x:v>
      </x:c>
      <x:c r="AB7" s="13" t="str">
        <x:v>No</x:v>
      </x:c>
      <x:c r="AC7" s="13" t="str">
        <x:v>No</x:v>
      </x:c>
      <x:c r="AD7" s="13" t="str">
        <x:v>No</x:v>
      </x:c>
      <x:c r="AE7" s="13" t="str">
        <x:v>Potentially higher quote; make sure payment protection terms are explicit.</x:v>
      </x:c>
      <x:c r="AF7" s="13" t="str">
        <x:v>Ask for pear options with IGI report number, laser inscription proof, and no-stone-substitution language.</x:v>
      </x:c>
      <x:c r="AG7" s="13" t="str"/>
      <x:c r="AH7" s="13" t="str">
        <x:v>https://fioresejewelry.com/</x:v>
      </x:c>
    </x:row>
    <x:row r="8">
      <x:c r="A8" s="13" t="str">
        <x:v>LGG Jewelry / Igg Jewelry</x:v>
      </x:c>
      <x:c r="B8" s="13" t="str"/>
      <x:c r="C8" s="13" t="str">
        <x:v>Website / WhatsApp / Alibaba if available</x:v>
      </x:c>
      <x:c r="D8" s="13" t="str">
        <x:v>Target</x:v>
      </x:c>
      <x:c r="E8" s="13" t="n">
        <x:v>4</x:v>
      </x:c>
      <x:c r="F8" s="22" t="str"/>
      <x:c r="G8" s="22" t="str"/>
      <x:c r="H8" s="22" t="str"/>
      <x:c r="I8" s="22" t="str">
        <x:f>IF(D8="Target","",IF(D8="Backup","",IF(H8="","",H8+3)))</x:f>
      </x:c>
      <x:c r="J8" s="26" t="str"/>
      <x:c r="K8" s="26" t="str"/>
      <x:c r="L8" s="26" t="str"/>
      <x:c r="M8" s="26" t="str"/>
      <x:c r="N8" s="16" t="n">
        <x:v>0.08</x:v>
      </x:c>
      <x:c r="O8" s="26" t="str">
        <x:f>IF(J8="","",SUM(J8:M8)*(1+N8))</x:f>
      </x:c>
      <x:c r="P8" s="13" t="str"/>
      <x:c r="Q8" s="31" t="str">
        <x:f>IF(O8="","",IF(COUNT($O$5:$O$34)&lt;2,3,MAX(1,MIN(5,6-((O8-MIN($O$5:$O$34))/(MAX($O$5:$O$34)-MIN($O$5:$O$34))*4)))))</x:f>
      </x:c>
      <x:c r="R8" s="31" t="n">
        <x:v>4</x:v>
      </x:c>
      <x:c r="S8" s="31" t="str"/>
      <x:c r="T8" s="31" t="n">
        <x:v>4</x:v>
      </x:c>
      <x:c r="U8" s="31" t="str"/>
      <x:c r="V8" s="31" t="n">
        <x:v>3.5</x:v>
      </x:c>
      <x:c r="W8" s="31" t="str"/>
      <x:c r="X8" s="31" t="n">
        <x:f>IF(COUNT(Q8:W8)=0,"",ROUND((IF(ISNUMBER(Q8),Q8*'Scoring Rubric'!$B$5,0)+IF(ISNUMBER(R8),R8*'Scoring Rubric'!$B$6,0)+IF(ISNUMBER(S8),S8*'Scoring Rubric'!$B$7,0)+IF(ISNUMBER(T8),T8*'Scoring Rubric'!$B$8,0)+IF(ISNUMBER(U8),U8*'Scoring Rubric'!$B$9,0)+IF(ISNUMBER(V8),V8*'Scoring Rubric'!$B$10,0)+IF(ISNUMBER(W8),W8*'Scoring Rubric'!$B$11,0))/(IF(ISNUMBER(Q8),'Scoring Rubric'!$B$5,0)+IF(ISNUMBER(R8),'Scoring Rubric'!$B$6,0)+IF(ISNUMBER(S8),'Scoring Rubric'!$B$7,0)+IF(ISNUMBER(T8),'Scoring Rubric'!$B$8,0)+IF(ISNUMBER(U8),'Scoring Rubric'!$B$9,0)+IF(ISNUMBER(V8),'Scoring Rubric'!$B$10,0)+IF(ISNUMBER(W8),'Scoring Rubric'!$B$11,0)),2))</x:f>
        <x:v>3.89</x:v>
      </x:c>
      <x:c r="Y8" s="13" t="str">
        <x:v>Yes</x:v>
      </x:c>
      <x:c r="Z8" s="13" t="str"/>
      <x:c r="AA8" s="13" t="str">
        <x:v>No</x:v>
      </x:c>
      <x:c r="AB8" s="13" t="str">
        <x:v>No</x:v>
      </x:c>
      <x:c r="AC8" s="13" t="str">
        <x:v>No</x:v>
      </x:c>
      <x:c r="AD8" s="13" t="str">
        <x:v>No</x:v>
      </x:c>
      <x:c r="AE8" s="13" t="str">
        <x:v>Less price history in this exact necklace category; verify channel, terms, and QC process.</x:v>
      </x:c>
      <x:c r="AF8" s="13" t="str">
        <x:v>Ask for certified pear options, CAD timing, finished gold weight, and whether payment can be done with buyer protection.</x:v>
      </x:c>
      <x:c r="AG8" s="13" t="str"/>
      <x:c r="AH8" s="13" t="str">
        <x:v>https://www.lggjewelry.com/</x:v>
      </x:c>
    </x:row>
    <x:row r="9">
      <x:c r="A9" s="13" t="str">
        <x:v>Provence Gems</x:v>
      </x:c>
      <x:c r="B9" s="13" t="str"/>
      <x:c r="C9" s="13" t="str">
        <x:v>Alibaba</x:v>
      </x:c>
      <x:c r="D9" s="13" t="str">
        <x:v>Target</x:v>
      </x:c>
      <x:c r="E9" s="13" t="n">
        <x:v>5</x:v>
      </x:c>
      <x:c r="F9" s="22" t="str"/>
      <x:c r="G9" s="22" t="str"/>
      <x:c r="H9" s="22" t="str"/>
      <x:c r="I9" s="22" t="str">
        <x:f>IF(D9="Target","",IF(D9="Backup","",IF(H9="","",H9+3)))</x:f>
      </x:c>
      <x:c r="J9" s="26" t="str"/>
      <x:c r="K9" s="26" t="str"/>
      <x:c r="L9" s="26" t="str"/>
      <x:c r="M9" s="26" t="str"/>
      <x:c r="N9" s="16" t="n">
        <x:v>0.08</x:v>
      </x:c>
      <x:c r="O9" s="26" t="str">
        <x:f>IF(J9="","",SUM(J9:M9)*(1+N9))</x:f>
      </x:c>
      <x:c r="P9" s="13" t="str"/>
      <x:c r="Q9" s="31" t="str">
        <x:f>IF(O9="","",IF(COUNT($O$5:$O$34)&lt;2,3,MAX(1,MIN(5,6-((O9-MIN($O$5:$O$34))/(MAX($O$5:$O$34)-MIN($O$5:$O$34))*4)))))</x:f>
      </x:c>
      <x:c r="R9" s="31" t="n">
        <x:v>3.5</x:v>
      </x:c>
      <x:c r="S9" s="31" t="str"/>
      <x:c r="T9" s="31" t="n">
        <x:v>3.5</x:v>
      </x:c>
      <x:c r="U9" s="31" t="str"/>
      <x:c r="V9" s="31" t="n">
        <x:v>4.5</x:v>
      </x:c>
      <x:c r="W9" s="31" t="str"/>
      <x:c r="X9" s="31" t="n">
        <x:f>IF(COUNT(Q9:W9)=0,"",ROUND((IF(ISNUMBER(Q9),Q9*'Scoring Rubric'!$B$5,0)+IF(ISNUMBER(R9),R9*'Scoring Rubric'!$B$6,0)+IF(ISNUMBER(S9),S9*'Scoring Rubric'!$B$7,0)+IF(ISNUMBER(T9),T9*'Scoring Rubric'!$B$8,0)+IF(ISNUMBER(U9),U9*'Scoring Rubric'!$B$9,0)+IF(ISNUMBER(V9),V9*'Scoring Rubric'!$B$10,0)+IF(ISNUMBER(W9),W9*'Scoring Rubric'!$B$11,0))/(IF(ISNUMBER(Q9),'Scoring Rubric'!$B$5,0)+IF(ISNUMBER(R9),'Scoring Rubric'!$B$6,0)+IF(ISNUMBER(S9),'Scoring Rubric'!$B$7,0)+IF(ISNUMBER(T9),'Scoring Rubric'!$B$8,0)+IF(ISNUMBER(U9),'Scoring Rubric'!$B$9,0)+IF(ISNUMBER(V9),'Scoring Rubric'!$B$10,0)+IF(ISNUMBER(W9),'Scoring Rubric'!$B$11,0)),2))</x:f>
        <x:v>3.72</x:v>
      </x:c>
      <x:c r="Y9" s="13" t="str">
        <x:v>Yes</x:v>
      </x:c>
      <x:c r="Z9" s="13" t="str"/>
      <x:c r="AA9" s="13" t="str">
        <x:v>No</x:v>
      </x:c>
      <x:c r="AB9" s="13" t="str">
        <x:v>No</x:v>
      </x:c>
      <x:c r="AC9" s="13" t="str">
        <x:v>No</x:v>
      </x:c>
      <x:c r="AD9" s="13" t="str">
        <x:v>No</x:v>
      </x:c>
      <x:c r="AE9" s="13" t="str">
        <x:v>Mixed community sentiment; use tight written specs, CAD signoff, and pre-shipment checks.</x:v>
      </x:c>
      <x:c r="AF9" s="13" t="str">
        <x:v>Ask for the same spec as Tianyu/Paston and require stone videos before any final payment.</x:v>
      </x:c>
      <x:c r="AG9" s="13" t="str"/>
      <x:c r="AH9" s="13" t="str">
        <x:v>https://gzprovence.en.alibaba.com/</x:v>
      </x:c>
    </x:row>
    <x:row r="10">
      <x:c r="A10" s="13" t="str">
        <x:v>StarsGem</x:v>
      </x:c>
      <x:c r="B10" s="13" t="str"/>
      <x:c r="C10" s="13" t="str">
        <x:v>StarsGem mall / Alibaba follow-up</x:v>
      </x:c>
      <x:c r="D10" s="13" t="str">
        <x:v>Target</x:v>
      </x:c>
      <x:c r="E10" s="13" t="n">
        <x:v>6</x:v>
      </x:c>
      <x:c r="F10" s="22" t="str"/>
      <x:c r="G10" s="22" t="str"/>
      <x:c r="H10" s="22" t="str"/>
      <x:c r="I10" s="22" t="str">
        <x:f>IF(D10="Target","",IF(D10="Backup","",IF(H10="","",H10+3)))</x:f>
      </x:c>
      <x:c r="J10" s="26" t="str"/>
      <x:c r="K10" s="26" t="str"/>
      <x:c r="L10" s="26" t="str"/>
      <x:c r="M10" s="26" t="str"/>
      <x:c r="N10" s="16" t="n">
        <x:v>0.08</x:v>
      </x:c>
      <x:c r="O10" s="26" t="str">
        <x:f>IF(J10="","",SUM(J10:M10)*(1+N10))</x:f>
      </x:c>
      <x:c r="P10" s="13" t="str"/>
      <x:c r="Q10" s="31" t="str">
        <x:f>IF(O10="","",IF(COUNT($O$5:$O$34)&lt;2,3,MAX(1,MIN(5,6-((O10-MIN($O$5:$O$34))/(MAX($O$5:$O$34)-MIN($O$5:$O$34))*4)))))</x:f>
      </x:c>
      <x:c r="R10" s="31" t="n">
        <x:v>3.7</x:v>
      </x:c>
      <x:c r="S10" s="31" t="str"/>
      <x:c r="T10" s="31" t="n">
        <x:v>3</x:v>
      </x:c>
      <x:c r="U10" s="31" t="str"/>
      <x:c r="V10" s="31" t="n">
        <x:v>4</x:v>
      </x:c>
      <x:c r="W10" s="31" t="str"/>
      <x:c r="X10" s="31" t="n">
        <x:f>IF(COUNT(Q10:W10)=0,"",ROUND((IF(ISNUMBER(Q10),Q10*'Scoring Rubric'!$B$5,0)+IF(ISNUMBER(R10),R10*'Scoring Rubric'!$B$6,0)+IF(ISNUMBER(S10),S10*'Scoring Rubric'!$B$7,0)+IF(ISNUMBER(T10),T10*'Scoring Rubric'!$B$8,0)+IF(ISNUMBER(U10),U10*'Scoring Rubric'!$B$9,0)+IF(ISNUMBER(V10),V10*'Scoring Rubric'!$B$10,0)+IF(ISNUMBER(W10),W10*'Scoring Rubric'!$B$11,0))/(IF(ISNUMBER(Q10),'Scoring Rubric'!$B$5,0)+IF(ISNUMBER(R10),'Scoring Rubric'!$B$6,0)+IF(ISNUMBER(S10),'Scoring Rubric'!$B$7,0)+IF(ISNUMBER(T10),'Scoring Rubric'!$B$8,0)+IF(ISNUMBER(U10),'Scoring Rubric'!$B$9,0)+IF(ISNUMBER(V10),'Scoring Rubric'!$B$10,0)+IF(ISNUMBER(W10),'Scoring Rubric'!$B$11,0)),2))</x:f>
        <x:v>3.53</x:v>
      </x:c>
      <x:c r="Y10" s="13" t="str">
        <x:v>Yes</x:v>
      </x:c>
      <x:c r="Z10" s="13" t="str"/>
      <x:c r="AA10" s="13" t="str">
        <x:v>No</x:v>
      </x:c>
      <x:c r="AB10" s="13" t="str">
        <x:v>No</x:v>
      </x:c>
      <x:c r="AC10" s="13" t="str">
        <x:v>No</x:v>
      </x:c>
      <x:c r="AD10" s="13" t="str">
        <x:v>No</x:v>
      </x:c>
      <x:c r="AE10" s="13" t="str">
        <x:v>The supplied listing text says none certified; do not assume IGI unless they provide a report number.</x:v>
      </x:c>
      <x:c r="AF10" s="13" t="str">
        <x:v>Ask if this exact design can be remade with an IGI pear and a heavier/confirmed 14k chain.</x:v>
      </x:c>
      <x:c r="AG10" s="13" t="str"/>
      <x:c r="AH10" s="13" t="str">
        <x:v>https://starsgemmall.com/#/detail?=25751_14K+Yellow+Gold+Lab+Diamond+Necklace+1.095ct+AuDP0000190Y-P2.html</x:v>
      </x:c>
    </x:row>
    <x:row r="11">
      <x:c r="A11" s="13" t="str">
        <x:v>Mona Fine Jewelry</x:v>
      </x:c>
      <x:c r="B11" s="13" t="str"/>
      <x:c r="C11" s="13" t="str">
        <x:v>Website / WhatsApp / Alibaba if available</x:v>
      </x:c>
      <x:c r="D11" s="13" t="str">
        <x:v>Backup</x:v>
      </x:c>
      <x:c r="E11" s="13" t="n">
        <x:v>7</x:v>
      </x:c>
      <x:c r="F11" s="22" t="str"/>
      <x:c r="G11" s="22" t="str"/>
      <x:c r="H11" s="22" t="str"/>
      <x:c r="I11" s="22" t="str">
        <x:f>IF(D11="Target","",IF(D11="Backup","",IF(H11="","",H11+3)))</x:f>
      </x:c>
      <x:c r="J11" s="26" t="str"/>
      <x:c r="K11" s="26" t="str"/>
      <x:c r="L11" s="26" t="str"/>
      <x:c r="M11" s="26" t="str"/>
      <x:c r="N11" s="16" t="n">
        <x:v>0.08</x:v>
      </x:c>
      <x:c r="O11" s="26" t="str">
        <x:f>IF(J11="","",SUM(J11:M11)*(1+N11))</x:f>
      </x:c>
      <x:c r="P11" s="13" t="str"/>
      <x:c r="Q11" s="31" t="str">
        <x:f>IF(O11="","",IF(COUNT($O$5:$O$34)&lt;2,3,MAX(1,MIN(5,6-((O11-MIN($O$5:$O$34))/(MAX($O$5:$O$34)-MIN($O$5:$O$34))*4)))))</x:f>
      </x:c>
      <x:c r="R11" s="31" t="n">
        <x:v>3.6</x:v>
      </x:c>
      <x:c r="S11" s="31" t="str"/>
      <x:c r="T11" s="31" t="n">
        <x:v>3.4</x:v>
      </x:c>
      <x:c r="U11" s="31" t="str"/>
      <x:c r="V11" s="31" t="n">
        <x:v>2.8</x:v>
      </x:c>
      <x:c r="W11" s="31" t="str"/>
      <x:c r="X11" s="31" t="n">
        <x:f>IF(COUNT(Q11:W11)=0,"",ROUND((IF(ISNUMBER(Q11),Q11*'Scoring Rubric'!$B$5,0)+IF(ISNUMBER(R11),R11*'Scoring Rubric'!$B$6,0)+IF(ISNUMBER(S11),S11*'Scoring Rubric'!$B$7,0)+IF(ISNUMBER(T11),T11*'Scoring Rubric'!$B$8,0)+IF(ISNUMBER(U11),U11*'Scoring Rubric'!$B$9,0)+IF(ISNUMBER(V11),V11*'Scoring Rubric'!$B$10,0)+IF(ISNUMBER(W11),W11*'Scoring Rubric'!$B$11,0))/(IF(ISNUMBER(Q11),'Scoring Rubric'!$B$5,0)+IF(ISNUMBER(R11),'Scoring Rubric'!$B$6,0)+IF(ISNUMBER(S11),'Scoring Rubric'!$B$7,0)+IF(ISNUMBER(T11),'Scoring Rubric'!$B$8,0)+IF(ISNUMBER(U11),'Scoring Rubric'!$B$9,0)+IF(ISNUMBER(V11),'Scoring Rubric'!$B$10,0)+IF(ISNUMBER(W11),'Scoring Rubric'!$B$11,0)),2))</x:f>
        <x:v>3.36</x:v>
      </x:c>
      <x:c r="Y11" s="13" t="str">
        <x:v>Yes</x:v>
      </x:c>
      <x:c r="Z11" s="13" t="str"/>
      <x:c r="AA11" s="13" t="str">
        <x:v>No</x:v>
      </x:c>
      <x:c r="AB11" s="13" t="str">
        <x:v>No</x:v>
      </x:c>
      <x:c r="AC11" s="13" t="str">
        <x:v>No</x:v>
      </x:c>
      <x:c r="AD11" s="13" t="str">
        <x:v>No</x:v>
      </x:c>
      <x:c r="AE11" s="13" t="str">
        <x:v>Harder to compare factory-level terms; buyer protection and timeline need extra clarity.</x:v>
      </x:c>
      <x:c r="AF11" s="13" t="str">
        <x:v>Ask for a written invoice, stone sourcing process, and exact refund/remake policy before proceeding.</x:v>
      </x:c>
      <x:c r="AG11" s="13" t="str"/>
      <x:c r="AH11" s="13" t="str">
        <x:v>https://www.reddit.com/r/Moissanite/wiki/list/</x:v>
      </x:c>
    </x:row>
    <x:row r="12">
      <x:c r="A12" s="13" t="str">
        <x:v>Kuololit</x:v>
      </x:c>
      <x:c r="B12" s="13" t="str"/>
      <x:c r="C12" s="13" t="str">
        <x:v>Website / WhatsApp / Alibaba if available</x:v>
      </x:c>
      <x:c r="D12" s="13" t="str">
        <x:v>Backup</x:v>
      </x:c>
      <x:c r="E12" s="13" t="n">
        <x:v>8</x:v>
      </x:c>
      <x:c r="F12" s="22" t="str"/>
      <x:c r="G12" s="22" t="str"/>
      <x:c r="H12" s="22" t="str"/>
      <x:c r="I12" s="22" t="str">
        <x:f>IF(D12="Target","",IF(D12="Backup","",IF(H12="","",H12+3)))</x:f>
      </x:c>
      <x:c r="J12" s="26" t="str"/>
      <x:c r="K12" s="26" t="str"/>
      <x:c r="L12" s="26" t="str"/>
      <x:c r="M12" s="26" t="str"/>
      <x:c r="N12" s="16" t="n">
        <x:v>0.08</x:v>
      </x:c>
      <x:c r="O12" s="26" t="str">
        <x:f>IF(J12="","",SUM(J12:M12)*(1+N12))</x:f>
      </x:c>
      <x:c r="P12" s="13" t="str"/>
      <x:c r="Q12" s="31" t="str">
        <x:f>IF(O12="","",IF(COUNT($O$5:$O$34)&lt;2,3,MAX(1,MIN(5,6-((O12-MIN($O$5:$O$34))/(MAX($O$5:$O$34)-MIN($O$5:$O$34))*4)))))</x:f>
      </x:c>
      <x:c r="R12" s="31" t="n">
        <x:v>3</x:v>
      </x:c>
      <x:c r="S12" s="31" t="str"/>
      <x:c r="T12" s="31" t="n">
        <x:v>2.8</x:v>
      </x:c>
      <x:c r="U12" s="31" t="str"/>
      <x:c r="V12" s="31" t="n">
        <x:v>3.2</x:v>
      </x:c>
      <x:c r="W12" s="31" t="str"/>
      <x:c r="X12" s="31" t="n">
        <x:f>IF(COUNT(Q12:W12)=0,"",ROUND((IF(ISNUMBER(Q12),Q12*'Scoring Rubric'!$B$5,0)+IF(ISNUMBER(R12),R12*'Scoring Rubric'!$B$6,0)+IF(ISNUMBER(S12),S12*'Scoring Rubric'!$B$7,0)+IF(ISNUMBER(T12),T12*'Scoring Rubric'!$B$8,0)+IF(ISNUMBER(U12),U12*'Scoring Rubric'!$B$9,0)+IF(ISNUMBER(V12),V12*'Scoring Rubric'!$B$10,0)+IF(ISNUMBER(W12),W12*'Scoring Rubric'!$B$11,0))/(IF(ISNUMBER(Q12),'Scoring Rubric'!$B$5,0)+IF(ISNUMBER(R12),'Scoring Rubric'!$B$6,0)+IF(ISNUMBER(S12),'Scoring Rubric'!$B$7,0)+IF(ISNUMBER(T12),'Scoring Rubric'!$B$8,0)+IF(ISNUMBER(U12),'Scoring Rubric'!$B$9,0)+IF(ISNUMBER(V12),'Scoring Rubric'!$B$10,0)+IF(ISNUMBER(W12),'Scoring Rubric'!$B$11,0)),2))</x:f>
        <x:v>2.98</x:v>
      </x:c>
      <x:c r="Y12" s="13" t="str">
        <x:v>Yes</x:v>
      </x:c>
      <x:c r="Z12" s="13" t="str"/>
      <x:c r="AA12" s="13" t="str">
        <x:v>No</x:v>
      </x:c>
      <x:c r="AB12" s="13" t="str">
        <x:v>No</x:v>
      </x:c>
      <x:c r="AC12" s="13" t="str">
        <x:v>No</x:v>
      </x:c>
      <x:c r="AD12" s="13" t="str">
        <x:v>No</x:v>
      </x:c>
      <x:c r="AE12" s="13" t="str">
        <x:v>Less natural fit for a custom IGI pear pendant; communication/QC can be more variable.</x:v>
      </x:c>
      <x:c r="AF12" s="13" t="str">
        <x:v>Ask whether they can do original CAD and certified pear sourcing, not only adapt a stock listing.</x:v>
      </x:c>
      <x:c r="AG12" s="13" t="str"/>
      <x:c r="AH12" s="13" t="str">
        <x:v>https://www.reddit.com/r/Moissanite/wiki/list/</x:v>
      </x:c>
    </x:row>
    <x:row r="13">
      <x:c r="A13" s="13" t="str">
        <x:v>Messi Gems</x:v>
      </x:c>
      <x:c r="B13" s="13" t="str"/>
      <x:c r="C13" s="13" t="str">
        <x:v>Website / WhatsApp / Alibaba if available</x:v>
      </x:c>
      <x:c r="D13" s="13" t="str">
        <x:v>Backup</x:v>
      </x:c>
      <x:c r="E13" s="13" t="n">
        <x:v>9</x:v>
      </x:c>
      <x:c r="F13" s="22" t="str"/>
      <x:c r="G13" s="22" t="str"/>
      <x:c r="H13" s="22" t="str"/>
      <x:c r="I13" s="22" t="str">
        <x:f>IF(D13="Target","",IF(D13="Backup","",IF(H13="","",H13+3)))</x:f>
      </x:c>
      <x:c r="J13" s="26" t="str"/>
      <x:c r="K13" s="26" t="str"/>
      <x:c r="L13" s="26" t="str"/>
      <x:c r="M13" s="26" t="str"/>
      <x:c r="N13" s="16" t="n">
        <x:v>0.08</x:v>
      </x:c>
      <x:c r="O13" s="26" t="str">
        <x:f>IF(J13="","",SUM(J13:M13)*(1+N13))</x:f>
      </x:c>
      <x:c r="P13" s="13" t="str"/>
      <x:c r="Q13" s="31" t="str">
        <x:f>IF(O13="","",IF(COUNT($O$5:$O$34)&lt;2,3,MAX(1,MIN(5,6-((O13-MIN($O$5:$O$34))/(MAX($O$5:$O$34)-MIN($O$5:$O$34))*4)))))</x:f>
      </x:c>
      <x:c r="R13" s="31" t="n">
        <x:v>2.8</x:v>
      </x:c>
      <x:c r="S13" s="31" t="str"/>
      <x:c r="T13" s="31" t="n">
        <x:v>3</x:v>
      </x:c>
      <x:c r="U13" s="31" t="str"/>
      <x:c r="V13" s="31" t="n">
        <x:v>3.8</x:v>
      </x:c>
      <x:c r="W13" s="31" t="str"/>
      <x:c r="X13" s="31" t="n">
        <x:f>IF(COUNT(Q13:W13)=0,"",ROUND((IF(ISNUMBER(Q13),Q13*'Scoring Rubric'!$B$5,0)+IF(ISNUMBER(R13),R13*'Scoring Rubric'!$B$6,0)+IF(ISNUMBER(S13),S13*'Scoring Rubric'!$B$7,0)+IF(ISNUMBER(T13),T13*'Scoring Rubric'!$B$8,0)+IF(ISNUMBER(U13),U13*'Scoring Rubric'!$B$9,0)+IF(ISNUMBER(V13),V13*'Scoring Rubric'!$B$10,0)+IF(ISNUMBER(W13),W13*'Scoring Rubric'!$B$11,0))/(IF(ISNUMBER(Q13),'Scoring Rubric'!$B$5,0)+IF(ISNUMBER(R13),'Scoring Rubric'!$B$6,0)+IF(ISNUMBER(S13),'Scoring Rubric'!$B$7,0)+IF(ISNUMBER(T13),'Scoring Rubric'!$B$8,0)+IF(ISNUMBER(U13),'Scoring Rubric'!$B$9,0)+IF(ISNUMBER(V13),'Scoring Rubric'!$B$10,0)+IF(ISNUMBER(W13),'Scoring Rubric'!$B$11,0)),2))</x:f>
        <x:v>3.09</x:v>
      </x:c>
      <x:c r="Y13" s="13" t="str">
        <x:v>Yes</x:v>
      </x:c>
      <x:c r="Z13" s="13" t="str"/>
      <x:c r="AA13" s="13" t="str">
        <x:v>No</x:v>
      </x:c>
      <x:c r="AB13" s="13" t="str">
        <x:v>No</x:v>
      </x:c>
      <x:c r="AC13" s="13" t="str">
        <x:v>No</x:v>
      </x:c>
      <x:c r="AD13" s="13" t="str">
        <x:v>No</x:v>
      </x:c>
      <x:c r="AE13" s="13" t="str">
        <x:v>Community evidence is thinner and includes serious certificate/stone-substitution concerns; verify hard.</x:v>
      </x:c>
      <x:c r="AF13" s="13" t="str">
        <x:v>If quoted, require IGI number before deposit and no-substitution language on the order.</x:v>
      </x:c>
      <x:c r="AG13" s="13" t="str"/>
      <x:c r="AH13" s="13" t="str">
        <x:v>https://www.alibaba.com/showroom/messi-gems.html</x:v>
      </x:c>
    </x:row>
    <x:row r="14">
      <x:c r="A14" s="14" t="str">
        <x:v>Ouros / Goldenbird</x:v>
      </x:c>
      <x:c r="B14" s="14" t="str"/>
      <x:c r="C14" s="14" t="str">
        <x:v>Website / WhatsApp / Alibaba if available</x:v>
      </x:c>
      <x:c r="D14" s="14" t="str">
        <x:v>Backup</x:v>
      </x:c>
      <x:c r="E14" s="14" t="n">
        <x:v>10</x:v>
      </x:c>
      <x:c r="F14" s="23" t="str"/>
      <x:c r="G14" s="23" t="str"/>
      <x:c r="H14" s="23" t="str"/>
      <x:c r="I14" s="23" t="str">
        <x:f>IF(D14="Target","",IF(D14="Backup","",IF(H14="","",H14+3)))</x:f>
      </x:c>
      <x:c r="J14" s="27" t="str"/>
      <x:c r="K14" s="27" t="str"/>
      <x:c r="L14" s="27" t="str"/>
      <x:c r="M14" s="27" t="str"/>
      <x:c r="N14" s="17" t="n">
        <x:v>0.08</x:v>
      </x:c>
      <x:c r="O14" s="27" t="str">
        <x:f>IF(J14="","",SUM(J14:M14)*(1+N14))</x:f>
      </x:c>
      <x:c r="P14" s="14" t="str"/>
      <x:c r="Q14" s="32" t="str">
        <x:f>IF(O14="","",IF(COUNT($O$5:$O$34)&lt;2,3,MAX(1,MIN(5,6-((O14-MIN($O$5:$O$34))/(MAX($O$5:$O$34)-MIN($O$5:$O$34))*4)))))</x:f>
      </x:c>
      <x:c r="R14" s="32" t="n">
        <x:v>2.5</x:v>
      </x:c>
      <x:c r="S14" s="32" t="str"/>
      <x:c r="T14" s="32" t="n">
        <x:v>3.2</x:v>
      </x:c>
      <x:c r="U14" s="32" t="str"/>
      <x:c r="V14" s="32" t="n">
        <x:v>2.8</x:v>
      </x:c>
      <x:c r="W14" s="32" t="str"/>
      <x:c r="X14" s="32" t="n">
        <x:f>IF(COUNT(Q14:W14)=0,"",ROUND((IF(ISNUMBER(Q14),Q14*'Scoring Rubric'!$B$5,0)+IF(ISNUMBER(R14),R14*'Scoring Rubric'!$B$6,0)+IF(ISNUMBER(S14),S14*'Scoring Rubric'!$B$7,0)+IF(ISNUMBER(T14),T14*'Scoring Rubric'!$B$8,0)+IF(ISNUMBER(U14),U14*'Scoring Rubric'!$B$9,0)+IF(ISNUMBER(V14),V14*'Scoring Rubric'!$B$10,0)+IF(ISNUMBER(W14),W14*'Scoring Rubric'!$B$11,0))/(IF(ISNUMBER(Q14),'Scoring Rubric'!$B$5,0)+IF(ISNUMBER(R14),'Scoring Rubric'!$B$6,0)+IF(ISNUMBER(S14),'Scoring Rubric'!$B$7,0)+IF(ISNUMBER(T14),'Scoring Rubric'!$B$8,0)+IF(ISNUMBER(U14),'Scoring Rubric'!$B$9,0)+IF(ISNUMBER(V14),'Scoring Rubric'!$B$10,0)+IF(ISNUMBER(W14),'Scoring Rubric'!$B$11,0)),2))</x:f>
        <x:v>2.8</x:v>
      </x:c>
      <x:c r="Y14" s="14" t="str">
        <x:v>Yes</x:v>
      </x:c>
      <x:c r="Z14" s="14" t="str"/>
      <x:c r="AA14" s="14" t="str">
        <x:v>No</x:v>
      </x:c>
      <x:c r="AB14" s="14" t="str">
        <x:v>No</x:v>
      </x:c>
      <x:c r="AC14" s="14" t="str">
        <x:v>No</x:v>
      </x:c>
      <x:c r="AD14" s="14" t="str">
        <x:v>No</x:v>
      </x:c>
      <x:c r="AE14" s="14" t="str">
        <x:v>Recent community caution signals mean it should not be the first choice for a sentimental custom piece.</x:v>
      </x:c>
      <x:c r="AF14" s="14" t="str">
        <x:v>Ask for written stone sourcing, certification, refund, and inspection process before quote comparison.</x:v>
      </x:c>
      <x:c r="AG14" s="14" t="str"/>
      <x:c r="AH14" s="14" t="str">
        <x:v>https://www.goldenbirdjewels.com/</x:v>
      </x:c>
    </x:row>
    <x:row r="15">
      <x:c r="F15" s="24"/>
      <x:c r="G15" s="24"/>
      <x:c r="H15" s="24"/>
      <x:c r="I15" s="24" t="str">
        <x:f>IF(D15="Target","",IF(D15="Backup","",IF(H15="","",H15+3)))</x:f>
      </x:c>
      <x:c r="J15" s="28"/>
      <x:c r="K15" s="28"/>
      <x:c r="L15" s="28"/>
      <x:c r="M15" s="28"/>
      <x:c r="N15" s="29"/>
      <x:c r="O15" s="28" t="str">
        <x:f>IF(J15="","",SUM(J15:M15)*(1+N15))</x:f>
      </x:c>
      <x:c r="Q15" s="33" t="str">
        <x:f>IF(O15="","",IF(COUNT($O$5:$O$34)&lt;2,3,MAX(1,MIN(5,6-((O15-MIN($O$5:$O$34))/(MAX($O$5:$O$34)-MIN($O$5:$O$34))*4)))))</x:f>
      </x:c>
      <x:c r="R15" s="33"/>
      <x:c r="S15" s="33"/>
      <x:c r="T15" s="33"/>
      <x:c r="U15" s="33"/>
      <x:c r="V15" s="33"/>
      <x:c r="W15" s="33"/>
      <x:c r="X15" s="33" t="str">
        <x:f>IF(COUNT(Q15:W15)=0,"",ROUND((IF(ISNUMBER(Q15),Q15*'Scoring Rubric'!$B$5,0)+IF(ISNUMBER(R15),R15*'Scoring Rubric'!$B$6,0)+IF(ISNUMBER(S15),S15*'Scoring Rubric'!$B$7,0)+IF(ISNUMBER(T15),T15*'Scoring Rubric'!$B$8,0)+IF(ISNUMBER(U15),U15*'Scoring Rubric'!$B$9,0)+IF(ISNUMBER(V15),V15*'Scoring Rubric'!$B$10,0)+IF(ISNUMBER(W15),W15*'Scoring Rubric'!$B$11,0))/(IF(ISNUMBER(Q15),'Scoring Rubric'!$B$5,0)+IF(ISNUMBER(R15),'Scoring Rubric'!$B$6,0)+IF(ISNUMBER(S15),'Scoring Rubric'!$B$7,0)+IF(ISNUMBER(T15),'Scoring Rubric'!$B$8,0)+IF(ISNUMBER(U15),'Scoring Rubric'!$B$9,0)+IF(ISNUMBER(V15),'Scoring Rubric'!$B$10,0)+IF(ISNUMBER(W15),'Scoring Rubric'!$B$11,0)),2))</x:f>
      </x:c>
    </x:row>
    <x:row r="16">
      <x:c r="F16" s="24"/>
      <x:c r="G16" s="24"/>
      <x:c r="H16" s="24"/>
      <x:c r="I16" s="24" t="str">
        <x:f>IF(D16="Target","",IF(D16="Backup","",IF(H16="","",H16+3)))</x:f>
      </x:c>
      <x:c r="J16" s="28"/>
      <x:c r="K16" s="28"/>
      <x:c r="L16" s="28"/>
      <x:c r="M16" s="28"/>
      <x:c r="N16" s="29"/>
      <x:c r="O16" s="28" t="str">
        <x:f>IF(J16="","",SUM(J16:M16)*(1+N16))</x:f>
      </x:c>
      <x:c r="Q16" s="33" t="str">
        <x:f>IF(O16="","",IF(COUNT($O$5:$O$34)&lt;2,3,MAX(1,MIN(5,6-((O16-MIN($O$5:$O$34))/(MAX($O$5:$O$34)-MIN($O$5:$O$34))*4)))))</x:f>
      </x:c>
      <x:c r="R16" s="33"/>
      <x:c r="S16" s="33"/>
      <x:c r="T16" s="33"/>
      <x:c r="U16" s="33"/>
      <x:c r="V16" s="33"/>
      <x:c r="W16" s="33"/>
      <x:c r="X16" s="33" t="str">
        <x:f>IF(COUNT(Q16:W16)=0,"",ROUND((IF(ISNUMBER(Q16),Q16*'Scoring Rubric'!$B$5,0)+IF(ISNUMBER(R16),R16*'Scoring Rubric'!$B$6,0)+IF(ISNUMBER(S16),S16*'Scoring Rubric'!$B$7,0)+IF(ISNUMBER(T16),T16*'Scoring Rubric'!$B$8,0)+IF(ISNUMBER(U16),U16*'Scoring Rubric'!$B$9,0)+IF(ISNUMBER(V16),V16*'Scoring Rubric'!$B$10,0)+IF(ISNUMBER(W16),W16*'Scoring Rubric'!$B$11,0))/(IF(ISNUMBER(Q16),'Scoring Rubric'!$B$5,0)+IF(ISNUMBER(R16),'Scoring Rubric'!$B$6,0)+IF(ISNUMBER(S16),'Scoring Rubric'!$B$7,0)+IF(ISNUMBER(T16),'Scoring Rubric'!$B$8,0)+IF(ISNUMBER(U16),'Scoring Rubric'!$B$9,0)+IF(ISNUMBER(V16),'Scoring Rubric'!$B$10,0)+IF(ISNUMBER(W16),'Scoring Rubric'!$B$11,0)),2))</x:f>
      </x:c>
    </x:row>
    <x:row r="17">
      <x:c r="F17" s="24"/>
      <x:c r="G17" s="24"/>
      <x:c r="H17" s="24"/>
      <x:c r="I17" s="24" t="str">
        <x:f>IF(D17="Target","",IF(D17="Backup","",IF(H17="","",H17+3)))</x:f>
      </x:c>
      <x:c r="J17" s="28"/>
      <x:c r="K17" s="28"/>
      <x:c r="L17" s="28"/>
      <x:c r="M17" s="28"/>
      <x:c r="N17" s="29"/>
      <x:c r="O17" s="28" t="str">
        <x:f>IF(J17="","",SUM(J17:M17)*(1+N17))</x:f>
      </x:c>
      <x:c r="Q17" s="33" t="str">
        <x:f>IF(O17="","",IF(COUNT($O$5:$O$34)&lt;2,3,MAX(1,MIN(5,6-((O17-MIN($O$5:$O$34))/(MAX($O$5:$O$34)-MIN($O$5:$O$34))*4)))))</x:f>
      </x:c>
      <x:c r="R17" s="33"/>
      <x:c r="S17" s="33"/>
      <x:c r="T17" s="33"/>
      <x:c r="U17" s="33"/>
      <x:c r="V17" s="33"/>
      <x:c r="W17" s="33"/>
      <x:c r="X17" s="33" t="str">
        <x:f>IF(COUNT(Q17:W17)=0,"",ROUND((IF(ISNUMBER(Q17),Q17*'Scoring Rubric'!$B$5,0)+IF(ISNUMBER(R17),R17*'Scoring Rubric'!$B$6,0)+IF(ISNUMBER(S17),S17*'Scoring Rubric'!$B$7,0)+IF(ISNUMBER(T17),T17*'Scoring Rubric'!$B$8,0)+IF(ISNUMBER(U17),U17*'Scoring Rubric'!$B$9,0)+IF(ISNUMBER(V17),V17*'Scoring Rubric'!$B$10,0)+IF(ISNUMBER(W17),W17*'Scoring Rubric'!$B$11,0))/(IF(ISNUMBER(Q17),'Scoring Rubric'!$B$5,0)+IF(ISNUMBER(R17),'Scoring Rubric'!$B$6,0)+IF(ISNUMBER(S17),'Scoring Rubric'!$B$7,0)+IF(ISNUMBER(T17),'Scoring Rubric'!$B$8,0)+IF(ISNUMBER(U17),'Scoring Rubric'!$B$9,0)+IF(ISNUMBER(V17),'Scoring Rubric'!$B$10,0)+IF(ISNUMBER(W17),'Scoring Rubric'!$B$11,0)),2))</x:f>
      </x:c>
    </x:row>
    <x:row r="18">
      <x:c r="F18" s="24"/>
      <x:c r="G18" s="24"/>
      <x:c r="H18" s="24"/>
      <x:c r="I18" s="24" t="str">
        <x:f>IF(D18="Target","",IF(D18="Backup","",IF(H18="","",H18+3)))</x:f>
      </x:c>
      <x:c r="J18" s="28"/>
      <x:c r="K18" s="28"/>
      <x:c r="L18" s="28"/>
      <x:c r="M18" s="28"/>
      <x:c r="N18" s="29"/>
      <x:c r="O18" s="28" t="str">
        <x:f>IF(J18="","",SUM(J18:M18)*(1+N18))</x:f>
      </x:c>
      <x:c r="Q18" s="33" t="str">
        <x:f>IF(O18="","",IF(COUNT($O$5:$O$34)&lt;2,3,MAX(1,MIN(5,6-((O18-MIN($O$5:$O$34))/(MAX($O$5:$O$34)-MIN($O$5:$O$34))*4)))))</x:f>
      </x:c>
      <x:c r="R18" s="33"/>
      <x:c r="S18" s="33"/>
      <x:c r="T18" s="33"/>
      <x:c r="U18" s="33"/>
      <x:c r="V18" s="33"/>
      <x:c r="W18" s="33"/>
      <x:c r="X18" s="33" t="str">
        <x:f>IF(COUNT(Q18:W18)=0,"",ROUND((IF(ISNUMBER(Q18),Q18*'Scoring Rubric'!$B$5,0)+IF(ISNUMBER(R18),R18*'Scoring Rubric'!$B$6,0)+IF(ISNUMBER(S18),S18*'Scoring Rubric'!$B$7,0)+IF(ISNUMBER(T18),T18*'Scoring Rubric'!$B$8,0)+IF(ISNUMBER(U18),U18*'Scoring Rubric'!$B$9,0)+IF(ISNUMBER(V18),V18*'Scoring Rubric'!$B$10,0)+IF(ISNUMBER(W18),W18*'Scoring Rubric'!$B$11,0))/(IF(ISNUMBER(Q18),'Scoring Rubric'!$B$5,0)+IF(ISNUMBER(R18),'Scoring Rubric'!$B$6,0)+IF(ISNUMBER(S18),'Scoring Rubric'!$B$7,0)+IF(ISNUMBER(T18),'Scoring Rubric'!$B$8,0)+IF(ISNUMBER(U18),'Scoring Rubric'!$B$9,0)+IF(ISNUMBER(V18),'Scoring Rubric'!$B$10,0)+IF(ISNUMBER(W18),'Scoring Rubric'!$B$11,0)),2))</x:f>
      </x:c>
    </x:row>
    <x:row r="19">
      <x:c r="F19" s="24"/>
      <x:c r="G19" s="24"/>
      <x:c r="H19" s="24"/>
      <x:c r="I19" s="24" t="str">
        <x:f>IF(D19="Target","",IF(D19="Backup","",IF(H19="","",H19+3)))</x:f>
      </x:c>
      <x:c r="J19" s="28"/>
      <x:c r="K19" s="28"/>
      <x:c r="L19" s="28"/>
      <x:c r="M19" s="28"/>
      <x:c r="N19" s="29"/>
      <x:c r="O19" s="28" t="str">
        <x:f>IF(J19="","",SUM(J19:M19)*(1+N19))</x:f>
      </x:c>
      <x:c r="Q19" s="33" t="str">
        <x:f>IF(O19="","",IF(COUNT($O$5:$O$34)&lt;2,3,MAX(1,MIN(5,6-((O19-MIN($O$5:$O$34))/(MAX($O$5:$O$34)-MIN($O$5:$O$34))*4)))))</x:f>
      </x:c>
      <x:c r="R19" s="33"/>
      <x:c r="S19" s="33"/>
      <x:c r="T19" s="33"/>
      <x:c r="U19" s="33"/>
      <x:c r="V19" s="33"/>
      <x:c r="W19" s="33"/>
      <x:c r="X19" s="33" t="str">
        <x:f>IF(COUNT(Q19:W19)=0,"",ROUND((IF(ISNUMBER(Q19),Q19*'Scoring Rubric'!$B$5,0)+IF(ISNUMBER(R19),R19*'Scoring Rubric'!$B$6,0)+IF(ISNUMBER(S19),S19*'Scoring Rubric'!$B$7,0)+IF(ISNUMBER(T19),T19*'Scoring Rubric'!$B$8,0)+IF(ISNUMBER(U19),U19*'Scoring Rubric'!$B$9,0)+IF(ISNUMBER(V19),V19*'Scoring Rubric'!$B$10,0)+IF(ISNUMBER(W19),W19*'Scoring Rubric'!$B$11,0))/(IF(ISNUMBER(Q19),'Scoring Rubric'!$B$5,0)+IF(ISNUMBER(R19),'Scoring Rubric'!$B$6,0)+IF(ISNUMBER(S19),'Scoring Rubric'!$B$7,0)+IF(ISNUMBER(T19),'Scoring Rubric'!$B$8,0)+IF(ISNUMBER(U19),'Scoring Rubric'!$B$9,0)+IF(ISNUMBER(V19),'Scoring Rubric'!$B$10,0)+IF(ISNUMBER(W19),'Scoring Rubric'!$B$11,0)),2))</x:f>
      </x:c>
    </x:row>
    <x:row r="20">
      <x:c r="F20" s="24"/>
      <x:c r="G20" s="24"/>
      <x:c r="H20" s="24"/>
      <x:c r="I20" s="24" t="str">
        <x:f>IF(D20="Target","",IF(D20="Backup","",IF(H20="","",H20+3)))</x:f>
      </x:c>
      <x:c r="J20" s="28"/>
      <x:c r="K20" s="28"/>
      <x:c r="L20" s="28"/>
      <x:c r="M20" s="28"/>
      <x:c r="N20" s="29"/>
      <x:c r="O20" s="28" t="str">
        <x:f>IF(J20="","",SUM(J20:M20)*(1+N20))</x:f>
      </x:c>
      <x:c r="Q20" s="33" t="str">
        <x:f>IF(O20="","",IF(COUNT($O$5:$O$34)&lt;2,3,MAX(1,MIN(5,6-((O20-MIN($O$5:$O$34))/(MAX($O$5:$O$34)-MIN($O$5:$O$34))*4)))))</x:f>
      </x:c>
      <x:c r="R20" s="33"/>
      <x:c r="S20" s="33"/>
      <x:c r="T20" s="33"/>
      <x:c r="U20" s="33"/>
      <x:c r="V20" s="33"/>
      <x:c r="W20" s="33"/>
      <x:c r="X20" s="33" t="str">
        <x:f>IF(COUNT(Q20:W20)=0,"",ROUND((IF(ISNUMBER(Q20),Q20*'Scoring Rubric'!$B$5,0)+IF(ISNUMBER(R20),R20*'Scoring Rubric'!$B$6,0)+IF(ISNUMBER(S20),S20*'Scoring Rubric'!$B$7,0)+IF(ISNUMBER(T20),T20*'Scoring Rubric'!$B$8,0)+IF(ISNUMBER(U20),U20*'Scoring Rubric'!$B$9,0)+IF(ISNUMBER(V20),V20*'Scoring Rubric'!$B$10,0)+IF(ISNUMBER(W20),W20*'Scoring Rubric'!$B$11,0))/(IF(ISNUMBER(Q20),'Scoring Rubric'!$B$5,0)+IF(ISNUMBER(R20),'Scoring Rubric'!$B$6,0)+IF(ISNUMBER(S20),'Scoring Rubric'!$B$7,0)+IF(ISNUMBER(T20),'Scoring Rubric'!$B$8,0)+IF(ISNUMBER(U20),'Scoring Rubric'!$B$9,0)+IF(ISNUMBER(V20),'Scoring Rubric'!$B$10,0)+IF(ISNUMBER(W20),'Scoring Rubric'!$B$11,0)),2))</x:f>
      </x:c>
    </x:row>
    <x:row r="21">
      <x:c r="F21" s="24"/>
      <x:c r="G21" s="24"/>
      <x:c r="H21" s="24"/>
      <x:c r="I21" s="24" t="str">
        <x:f>IF(D21="Target","",IF(D21="Backup","",IF(H21="","",H21+3)))</x:f>
      </x:c>
      <x:c r="J21" s="28"/>
      <x:c r="K21" s="28"/>
      <x:c r="L21" s="28"/>
      <x:c r="M21" s="28"/>
      <x:c r="N21" s="29"/>
      <x:c r="O21" s="28" t="str">
        <x:f>IF(J21="","",SUM(J21:M21)*(1+N21))</x:f>
      </x:c>
      <x:c r="Q21" s="33" t="str">
        <x:f>IF(O21="","",IF(COUNT($O$5:$O$34)&lt;2,3,MAX(1,MIN(5,6-((O21-MIN($O$5:$O$34))/(MAX($O$5:$O$34)-MIN($O$5:$O$34))*4)))))</x:f>
      </x:c>
      <x:c r="R21" s="33"/>
      <x:c r="S21" s="33"/>
      <x:c r="T21" s="33"/>
      <x:c r="U21" s="33"/>
      <x:c r="V21" s="33"/>
      <x:c r="W21" s="33"/>
      <x:c r="X21" s="33" t="str">
        <x:f>IF(COUNT(Q21:W21)=0,"",ROUND((IF(ISNUMBER(Q21),Q21*'Scoring Rubric'!$B$5,0)+IF(ISNUMBER(R21),R21*'Scoring Rubric'!$B$6,0)+IF(ISNUMBER(S21),S21*'Scoring Rubric'!$B$7,0)+IF(ISNUMBER(T21),T21*'Scoring Rubric'!$B$8,0)+IF(ISNUMBER(U21),U21*'Scoring Rubric'!$B$9,0)+IF(ISNUMBER(V21),V21*'Scoring Rubric'!$B$10,0)+IF(ISNUMBER(W21),W21*'Scoring Rubric'!$B$11,0))/(IF(ISNUMBER(Q21),'Scoring Rubric'!$B$5,0)+IF(ISNUMBER(R21),'Scoring Rubric'!$B$6,0)+IF(ISNUMBER(S21),'Scoring Rubric'!$B$7,0)+IF(ISNUMBER(T21),'Scoring Rubric'!$B$8,0)+IF(ISNUMBER(U21),'Scoring Rubric'!$B$9,0)+IF(ISNUMBER(V21),'Scoring Rubric'!$B$10,0)+IF(ISNUMBER(W21),'Scoring Rubric'!$B$11,0)),2))</x:f>
      </x:c>
    </x:row>
    <x:row r="22">
      <x:c r="F22" s="24"/>
      <x:c r="G22" s="24"/>
      <x:c r="H22" s="24"/>
      <x:c r="I22" s="24" t="str">
        <x:f>IF(D22="Target","",IF(D22="Backup","",IF(H22="","",H22+3)))</x:f>
      </x:c>
      <x:c r="J22" s="28"/>
      <x:c r="K22" s="28"/>
      <x:c r="L22" s="28"/>
      <x:c r="M22" s="28"/>
      <x:c r="N22" s="29"/>
      <x:c r="O22" s="28" t="str">
        <x:f>IF(J22="","",SUM(J22:M22)*(1+N22))</x:f>
      </x:c>
      <x:c r="Q22" s="33" t="str">
        <x:f>IF(O22="","",IF(COUNT($O$5:$O$34)&lt;2,3,MAX(1,MIN(5,6-((O22-MIN($O$5:$O$34))/(MAX($O$5:$O$34)-MIN($O$5:$O$34))*4)))))</x:f>
      </x:c>
      <x:c r="R22" s="33"/>
      <x:c r="S22" s="33"/>
      <x:c r="T22" s="33"/>
      <x:c r="U22" s="33"/>
      <x:c r="V22" s="33"/>
      <x:c r="W22" s="33"/>
      <x:c r="X22" s="33" t="str">
        <x:f>IF(COUNT(Q22:W22)=0,"",ROUND((IF(ISNUMBER(Q22),Q22*'Scoring Rubric'!$B$5,0)+IF(ISNUMBER(R22),R22*'Scoring Rubric'!$B$6,0)+IF(ISNUMBER(S22),S22*'Scoring Rubric'!$B$7,0)+IF(ISNUMBER(T22),T22*'Scoring Rubric'!$B$8,0)+IF(ISNUMBER(U22),U22*'Scoring Rubric'!$B$9,0)+IF(ISNUMBER(V22),V22*'Scoring Rubric'!$B$10,0)+IF(ISNUMBER(W22),W22*'Scoring Rubric'!$B$11,0))/(IF(ISNUMBER(Q22),'Scoring Rubric'!$B$5,0)+IF(ISNUMBER(R22),'Scoring Rubric'!$B$6,0)+IF(ISNUMBER(S22),'Scoring Rubric'!$B$7,0)+IF(ISNUMBER(T22),'Scoring Rubric'!$B$8,0)+IF(ISNUMBER(U22),'Scoring Rubric'!$B$9,0)+IF(ISNUMBER(V22),'Scoring Rubric'!$B$10,0)+IF(ISNUMBER(W22),'Scoring Rubric'!$B$11,0)),2))</x:f>
      </x:c>
    </x:row>
    <x:row r="23">
      <x:c r="F23" s="24"/>
      <x:c r="G23" s="24"/>
      <x:c r="H23" s="24"/>
      <x:c r="I23" s="24" t="str">
        <x:f>IF(D23="Target","",IF(D23="Backup","",IF(H23="","",H23+3)))</x:f>
      </x:c>
      <x:c r="J23" s="28"/>
      <x:c r="K23" s="28"/>
      <x:c r="L23" s="28"/>
      <x:c r="M23" s="28"/>
      <x:c r="N23" s="29"/>
      <x:c r="O23" s="28" t="str">
        <x:f>IF(J23="","",SUM(J23:M23)*(1+N23))</x:f>
      </x:c>
      <x:c r="Q23" s="33" t="str">
        <x:f>IF(O23="","",IF(COUNT($O$5:$O$34)&lt;2,3,MAX(1,MIN(5,6-((O23-MIN($O$5:$O$34))/(MAX($O$5:$O$34)-MIN($O$5:$O$34))*4)))))</x:f>
      </x:c>
      <x:c r="R23" s="33"/>
      <x:c r="S23" s="33"/>
      <x:c r="T23" s="33"/>
      <x:c r="U23" s="33"/>
      <x:c r="V23" s="33"/>
      <x:c r="W23" s="33"/>
      <x:c r="X23" s="33" t="str">
        <x:f>IF(COUNT(Q23:W23)=0,"",ROUND((IF(ISNUMBER(Q23),Q23*'Scoring Rubric'!$B$5,0)+IF(ISNUMBER(R23),R23*'Scoring Rubric'!$B$6,0)+IF(ISNUMBER(S23),S23*'Scoring Rubric'!$B$7,0)+IF(ISNUMBER(T23),T23*'Scoring Rubric'!$B$8,0)+IF(ISNUMBER(U23),U23*'Scoring Rubric'!$B$9,0)+IF(ISNUMBER(V23),V23*'Scoring Rubric'!$B$10,0)+IF(ISNUMBER(W23),W23*'Scoring Rubric'!$B$11,0))/(IF(ISNUMBER(Q23),'Scoring Rubric'!$B$5,0)+IF(ISNUMBER(R23),'Scoring Rubric'!$B$6,0)+IF(ISNUMBER(S23),'Scoring Rubric'!$B$7,0)+IF(ISNUMBER(T23),'Scoring Rubric'!$B$8,0)+IF(ISNUMBER(U23),'Scoring Rubric'!$B$9,0)+IF(ISNUMBER(V23),'Scoring Rubric'!$B$10,0)+IF(ISNUMBER(W23),'Scoring Rubric'!$B$11,0)),2))</x:f>
      </x:c>
    </x:row>
    <x:row r="24">
      <x:c r="F24" s="24"/>
      <x:c r="G24" s="24"/>
      <x:c r="H24" s="24"/>
      <x:c r="I24" s="24" t="str">
        <x:f>IF(D24="Target","",IF(D24="Backup","",IF(H24="","",H24+3)))</x:f>
      </x:c>
      <x:c r="J24" s="28"/>
      <x:c r="K24" s="28"/>
      <x:c r="L24" s="28"/>
      <x:c r="M24" s="28"/>
      <x:c r="N24" s="29"/>
      <x:c r="O24" s="28" t="str">
        <x:f>IF(J24="","",SUM(J24:M24)*(1+N24))</x:f>
      </x:c>
      <x:c r="Q24" s="33" t="str">
        <x:f>IF(O24="","",IF(COUNT($O$5:$O$34)&lt;2,3,MAX(1,MIN(5,6-((O24-MIN($O$5:$O$34))/(MAX($O$5:$O$34)-MIN($O$5:$O$34))*4)))))</x:f>
      </x:c>
      <x:c r="R24" s="33"/>
      <x:c r="S24" s="33"/>
      <x:c r="T24" s="33"/>
      <x:c r="U24" s="33"/>
      <x:c r="V24" s="33"/>
      <x:c r="W24" s="33"/>
      <x:c r="X24" s="33" t="str">
        <x:f>IF(COUNT(Q24:W24)=0,"",ROUND((IF(ISNUMBER(Q24),Q24*'Scoring Rubric'!$B$5,0)+IF(ISNUMBER(R24),R24*'Scoring Rubric'!$B$6,0)+IF(ISNUMBER(S24),S24*'Scoring Rubric'!$B$7,0)+IF(ISNUMBER(T24),T24*'Scoring Rubric'!$B$8,0)+IF(ISNUMBER(U24),U24*'Scoring Rubric'!$B$9,0)+IF(ISNUMBER(V24),V24*'Scoring Rubric'!$B$10,0)+IF(ISNUMBER(W24),W24*'Scoring Rubric'!$B$11,0))/(IF(ISNUMBER(Q24),'Scoring Rubric'!$B$5,0)+IF(ISNUMBER(R24),'Scoring Rubric'!$B$6,0)+IF(ISNUMBER(S24),'Scoring Rubric'!$B$7,0)+IF(ISNUMBER(T24),'Scoring Rubric'!$B$8,0)+IF(ISNUMBER(U24),'Scoring Rubric'!$B$9,0)+IF(ISNUMBER(V24),'Scoring Rubric'!$B$10,0)+IF(ISNUMBER(W24),'Scoring Rubric'!$B$11,0)),2))</x:f>
      </x:c>
    </x:row>
    <x:row r="25">
      <x:c r="F25" s="24"/>
      <x:c r="G25" s="24"/>
      <x:c r="H25" s="24"/>
      <x:c r="I25" s="24" t="str">
        <x:f>IF(D25="Target","",IF(D25="Backup","",IF(H25="","",H25+3)))</x:f>
      </x:c>
      <x:c r="J25" s="28"/>
      <x:c r="K25" s="28"/>
      <x:c r="L25" s="28"/>
      <x:c r="M25" s="28"/>
      <x:c r="N25" s="29"/>
      <x:c r="O25" s="28" t="str">
        <x:f>IF(J25="","",SUM(J25:M25)*(1+N25))</x:f>
      </x:c>
      <x:c r="Q25" s="33" t="str">
        <x:f>IF(O25="","",IF(COUNT($O$5:$O$34)&lt;2,3,MAX(1,MIN(5,6-((O25-MIN($O$5:$O$34))/(MAX($O$5:$O$34)-MIN($O$5:$O$34))*4)))))</x:f>
      </x:c>
      <x:c r="R25" s="33"/>
      <x:c r="S25" s="33"/>
      <x:c r="T25" s="33"/>
      <x:c r="U25" s="33"/>
      <x:c r="V25" s="33"/>
      <x:c r="W25" s="33"/>
      <x:c r="X25" s="33" t="str">
        <x:f>IF(COUNT(Q25:W25)=0,"",ROUND((IF(ISNUMBER(Q25),Q25*'Scoring Rubric'!$B$5,0)+IF(ISNUMBER(R25),R25*'Scoring Rubric'!$B$6,0)+IF(ISNUMBER(S25),S25*'Scoring Rubric'!$B$7,0)+IF(ISNUMBER(T25),T25*'Scoring Rubric'!$B$8,0)+IF(ISNUMBER(U25),U25*'Scoring Rubric'!$B$9,0)+IF(ISNUMBER(V25),V25*'Scoring Rubric'!$B$10,0)+IF(ISNUMBER(W25),W25*'Scoring Rubric'!$B$11,0))/(IF(ISNUMBER(Q25),'Scoring Rubric'!$B$5,0)+IF(ISNUMBER(R25),'Scoring Rubric'!$B$6,0)+IF(ISNUMBER(S25),'Scoring Rubric'!$B$7,0)+IF(ISNUMBER(T25),'Scoring Rubric'!$B$8,0)+IF(ISNUMBER(U25),'Scoring Rubric'!$B$9,0)+IF(ISNUMBER(V25),'Scoring Rubric'!$B$10,0)+IF(ISNUMBER(W25),'Scoring Rubric'!$B$11,0)),2))</x:f>
      </x:c>
    </x:row>
    <x:row r="26">
      <x:c r="F26" s="24"/>
      <x:c r="G26" s="24"/>
      <x:c r="H26" s="24"/>
      <x:c r="I26" s="24" t="str">
        <x:f>IF(D26="Target","",IF(D26="Backup","",IF(H26="","",H26+3)))</x:f>
      </x:c>
      <x:c r="J26" s="28"/>
      <x:c r="K26" s="28"/>
      <x:c r="L26" s="28"/>
      <x:c r="M26" s="28"/>
      <x:c r="N26" s="29"/>
      <x:c r="O26" s="28" t="str">
        <x:f>IF(J26="","",SUM(J26:M26)*(1+N26))</x:f>
      </x:c>
      <x:c r="Q26" s="33" t="str">
        <x:f>IF(O26="","",IF(COUNT($O$5:$O$34)&lt;2,3,MAX(1,MIN(5,6-((O26-MIN($O$5:$O$34))/(MAX($O$5:$O$34)-MIN($O$5:$O$34))*4)))))</x:f>
      </x:c>
      <x:c r="R26" s="33"/>
      <x:c r="S26" s="33"/>
      <x:c r="T26" s="33"/>
      <x:c r="U26" s="33"/>
      <x:c r="V26" s="33"/>
      <x:c r="W26" s="33"/>
      <x:c r="X26" s="33" t="str">
        <x:f>IF(COUNT(Q26:W26)=0,"",ROUND((IF(ISNUMBER(Q26),Q26*'Scoring Rubric'!$B$5,0)+IF(ISNUMBER(R26),R26*'Scoring Rubric'!$B$6,0)+IF(ISNUMBER(S26),S26*'Scoring Rubric'!$B$7,0)+IF(ISNUMBER(T26),T26*'Scoring Rubric'!$B$8,0)+IF(ISNUMBER(U26),U26*'Scoring Rubric'!$B$9,0)+IF(ISNUMBER(V26),V26*'Scoring Rubric'!$B$10,0)+IF(ISNUMBER(W26),W26*'Scoring Rubric'!$B$11,0))/(IF(ISNUMBER(Q26),'Scoring Rubric'!$B$5,0)+IF(ISNUMBER(R26),'Scoring Rubric'!$B$6,0)+IF(ISNUMBER(S26),'Scoring Rubric'!$B$7,0)+IF(ISNUMBER(T26),'Scoring Rubric'!$B$8,0)+IF(ISNUMBER(U26),'Scoring Rubric'!$B$9,0)+IF(ISNUMBER(V26),'Scoring Rubric'!$B$10,0)+IF(ISNUMBER(W26),'Scoring Rubric'!$B$11,0)),2))</x:f>
      </x:c>
    </x:row>
    <x:row r="27">
      <x:c r="F27" s="24"/>
      <x:c r="G27" s="24"/>
      <x:c r="H27" s="24"/>
      <x:c r="I27" s="24" t="str">
        <x:f>IF(D27="Target","",IF(D27="Backup","",IF(H27="","",H27+3)))</x:f>
      </x:c>
      <x:c r="J27" s="28"/>
      <x:c r="K27" s="28"/>
      <x:c r="L27" s="28"/>
      <x:c r="M27" s="28"/>
      <x:c r="N27" s="29"/>
      <x:c r="O27" s="28" t="str">
        <x:f>IF(J27="","",SUM(J27:M27)*(1+N27))</x:f>
      </x:c>
      <x:c r="Q27" s="33" t="str">
        <x:f>IF(O27="","",IF(COUNT($O$5:$O$34)&lt;2,3,MAX(1,MIN(5,6-((O27-MIN($O$5:$O$34))/(MAX($O$5:$O$34)-MIN($O$5:$O$34))*4)))))</x:f>
      </x:c>
      <x:c r="R27" s="33"/>
      <x:c r="S27" s="33"/>
      <x:c r="T27" s="33"/>
      <x:c r="U27" s="33"/>
      <x:c r="V27" s="33"/>
      <x:c r="W27" s="33"/>
      <x:c r="X27" s="33" t="str">
        <x:f>IF(COUNT(Q27:W27)=0,"",ROUND((IF(ISNUMBER(Q27),Q27*'Scoring Rubric'!$B$5,0)+IF(ISNUMBER(R27),R27*'Scoring Rubric'!$B$6,0)+IF(ISNUMBER(S27),S27*'Scoring Rubric'!$B$7,0)+IF(ISNUMBER(T27),T27*'Scoring Rubric'!$B$8,0)+IF(ISNUMBER(U27),U27*'Scoring Rubric'!$B$9,0)+IF(ISNUMBER(V27),V27*'Scoring Rubric'!$B$10,0)+IF(ISNUMBER(W27),W27*'Scoring Rubric'!$B$11,0))/(IF(ISNUMBER(Q27),'Scoring Rubric'!$B$5,0)+IF(ISNUMBER(R27),'Scoring Rubric'!$B$6,0)+IF(ISNUMBER(S27),'Scoring Rubric'!$B$7,0)+IF(ISNUMBER(T27),'Scoring Rubric'!$B$8,0)+IF(ISNUMBER(U27),'Scoring Rubric'!$B$9,0)+IF(ISNUMBER(V27),'Scoring Rubric'!$B$10,0)+IF(ISNUMBER(W27),'Scoring Rubric'!$B$11,0)),2))</x:f>
      </x:c>
    </x:row>
    <x:row r="28">
      <x:c r="F28" s="24"/>
      <x:c r="G28" s="24"/>
      <x:c r="H28" s="24"/>
      <x:c r="I28" s="24" t="str">
        <x:f>IF(D28="Target","",IF(D28="Backup","",IF(H28="","",H28+3)))</x:f>
      </x:c>
      <x:c r="J28" s="28"/>
      <x:c r="K28" s="28"/>
      <x:c r="L28" s="28"/>
      <x:c r="M28" s="28"/>
      <x:c r="N28" s="29"/>
      <x:c r="O28" s="28" t="str">
        <x:f>IF(J28="","",SUM(J28:M28)*(1+N28))</x:f>
      </x:c>
      <x:c r="Q28" s="33" t="str">
        <x:f>IF(O28="","",IF(COUNT($O$5:$O$34)&lt;2,3,MAX(1,MIN(5,6-((O28-MIN($O$5:$O$34))/(MAX($O$5:$O$34)-MIN($O$5:$O$34))*4)))))</x:f>
      </x:c>
      <x:c r="R28" s="33"/>
      <x:c r="S28" s="33"/>
      <x:c r="T28" s="33"/>
      <x:c r="U28" s="33"/>
      <x:c r="V28" s="33"/>
      <x:c r="W28" s="33"/>
      <x:c r="X28" s="33" t="str">
        <x:f>IF(COUNT(Q28:W28)=0,"",ROUND((IF(ISNUMBER(Q28),Q28*'Scoring Rubric'!$B$5,0)+IF(ISNUMBER(R28),R28*'Scoring Rubric'!$B$6,0)+IF(ISNUMBER(S28),S28*'Scoring Rubric'!$B$7,0)+IF(ISNUMBER(T28),T28*'Scoring Rubric'!$B$8,0)+IF(ISNUMBER(U28),U28*'Scoring Rubric'!$B$9,0)+IF(ISNUMBER(V28),V28*'Scoring Rubric'!$B$10,0)+IF(ISNUMBER(W28),W28*'Scoring Rubric'!$B$11,0))/(IF(ISNUMBER(Q28),'Scoring Rubric'!$B$5,0)+IF(ISNUMBER(R28),'Scoring Rubric'!$B$6,0)+IF(ISNUMBER(S28),'Scoring Rubric'!$B$7,0)+IF(ISNUMBER(T28),'Scoring Rubric'!$B$8,0)+IF(ISNUMBER(U28),'Scoring Rubric'!$B$9,0)+IF(ISNUMBER(V28),'Scoring Rubric'!$B$10,0)+IF(ISNUMBER(W28),'Scoring Rubric'!$B$11,0)),2))</x:f>
      </x:c>
    </x:row>
    <x:row r="29">
      <x:c r="F29" s="24"/>
      <x:c r="G29" s="24"/>
      <x:c r="H29" s="24"/>
      <x:c r="I29" s="24" t="str">
        <x:f>IF(D29="Target","",IF(D29="Backup","",IF(H29="","",H29+3)))</x:f>
      </x:c>
      <x:c r="J29" s="28"/>
      <x:c r="K29" s="28"/>
      <x:c r="L29" s="28"/>
      <x:c r="M29" s="28"/>
      <x:c r="N29" s="29"/>
      <x:c r="O29" s="28" t="str">
        <x:f>IF(J29="","",SUM(J29:M29)*(1+N29))</x:f>
      </x:c>
      <x:c r="Q29" s="33" t="str">
        <x:f>IF(O29="","",IF(COUNT($O$5:$O$34)&lt;2,3,MAX(1,MIN(5,6-((O29-MIN($O$5:$O$34))/(MAX($O$5:$O$34)-MIN($O$5:$O$34))*4)))))</x:f>
      </x:c>
      <x:c r="R29" s="33"/>
      <x:c r="S29" s="33"/>
      <x:c r="T29" s="33"/>
      <x:c r="U29" s="33"/>
      <x:c r="V29" s="33"/>
      <x:c r="W29" s="33"/>
      <x:c r="X29" s="33" t="str">
        <x:f>IF(COUNT(Q29:W29)=0,"",ROUND((IF(ISNUMBER(Q29),Q29*'Scoring Rubric'!$B$5,0)+IF(ISNUMBER(R29),R29*'Scoring Rubric'!$B$6,0)+IF(ISNUMBER(S29),S29*'Scoring Rubric'!$B$7,0)+IF(ISNUMBER(T29),T29*'Scoring Rubric'!$B$8,0)+IF(ISNUMBER(U29),U29*'Scoring Rubric'!$B$9,0)+IF(ISNUMBER(V29),V29*'Scoring Rubric'!$B$10,0)+IF(ISNUMBER(W29),W29*'Scoring Rubric'!$B$11,0))/(IF(ISNUMBER(Q29),'Scoring Rubric'!$B$5,0)+IF(ISNUMBER(R29),'Scoring Rubric'!$B$6,0)+IF(ISNUMBER(S29),'Scoring Rubric'!$B$7,0)+IF(ISNUMBER(T29),'Scoring Rubric'!$B$8,0)+IF(ISNUMBER(U29),'Scoring Rubric'!$B$9,0)+IF(ISNUMBER(V29),'Scoring Rubric'!$B$10,0)+IF(ISNUMBER(W29),'Scoring Rubric'!$B$11,0)),2))</x:f>
      </x:c>
    </x:row>
    <x:row r="30">
      <x:c r="F30" s="24"/>
      <x:c r="G30" s="24"/>
      <x:c r="H30" s="24"/>
      <x:c r="I30" s="24" t="str">
        <x:f>IF(D30="Target","",IF(D30="Backup","",IF(H30="","",H30+3)))</x:f>
      </x:c>
      <x:c r="J30" s="28"/>
      <x:c r="K30" s="28"/>
      <x:c r="L30" s="28"/>
      <x:c r="M30" s="28"/>
      <x:c r="N30" s="29"/>
      <x:c r="O30" s="28" t="str">
        <x:f>IF(J30="","",SUM(J30:M30)*(1+N30))</x:f>
      </x:c>
      <x:c r="Q30" s="33" t="str">
        <x:f>IF(O30="","",IF(COUNT($O$5:$O$34)&lt;2,3,MAX(1,MIN(5,6-((O30-MIN($O$5:$O$34))/(MAX($O$5:$O$34)-MIN($O$5:$O$34))*4)))))</x:f>
      </x:c>
      <x:c r="R30" s="33"/>
      <x:c r="S30" s="33"/>
      <x:c r="T30" s="33"/>
      <x:c r="U30" s="33"/>
      <x:c r="V30" s="33"/>
      <x:c r="W30" s="33"/>
      <x:c r="X30" s="33" t="str">
        <x:f>IF(COUNT(Q30:W30)=0,"",ROUND((IF(ISNUMBER(Q30),Q30*'Scoring Rubric'!$B$5,0)+IF(ISNUMBER(R30),R30*'Scoring Rubric'!$B$6,0)+IF(ISNUMBER(S30),S30*'Scoring Rubric'!$B$7,0)+IF(ISNUMBER(T30),T30*'Scoring Rubric'!$B$8,0)+IF(ISNUMBER(U30),U30*'Scoring Rubric'!$B$9,0)+IF(ISNUMBER(V30),V30*'Scoring Rubric'!$B$10,0)+IF(ISNUMBER(W30),W30*'Scoring Rubric'!$B$11,0))/(IF(ISNUMBER(Q30),'Scoring Rubric'!$B$5,0)+IF(ISNUMBER(R30),'Scoring Rubric'!$B$6,0)+IF(ISNUMBER(S30),'Scoring Rubric'!$B$7,0)+IF(ISNUMBER(T30),'Scoring Rubric'!$B$8,0)+IF(ISNUMBER(U30),'Scoring Rubric'!$B$9,0)+IF(ISNUMBER(V30),'Scoring Rubric'!$B$10,0)+IF(ISNUMBER(W30),'Scoring Rubric'!$B$11,0)),2))</x:f>
      </x:c>
    </x:row>
    <x:row r="31">
      <x:c r="F31" s="24"/>
      <x:c r="G31" s="24"/>
      <x:c r="H31" s="24"/>
      <x:c r="I31" s="24" t="str">
        <x:f>IF(D31="Target","",IF(D31="Backup","",IF(H31="","",H31+3)))</x:f>
      </x:c>
      <x:c r="J31" s="28"/>
      <x:c r="K31" s="28"/>
      <x:c r="L31" s="28"/>
      <x:c r="M31" s="28"/>
      <x:c r="N31" s="29"/>
      <x:c r="O31" s="28" t="str">
        <x:f>IF(J31="","",SUM(J31:M31)*(1+N31))</x:f>
      </x:c>
      <x:c r="Q31" s="33" t="str">
        <x:f>IF(O31="","",IF(COUNT($O$5:$O$34)&lt;2,3,MAX(1,MIN(5,6-((O31-MIN($O$5:$O$34))/(MAX($O$5:$O$34)-MIN($O$5:$O$34))*4)))))</x:f>
      </x:c>
      <x:c r="R31" s="33"/>
      <x:c r="S31" s="33"/>
      <x:c r="T31" s="33"/>
      <x:c r="U31" s="33"/>
      <x:c r="V31" s="33"/>
      <x:c r="W31" s="33"/>
      <x:c r="X31" s="33" t="str">
        <x:f>IF(COUNT(Q31:W31)=0,"",ROUND((IF(ISNUMBER(Q31),Q31*'Scoring Rubric'!$B$5,0)+IF(ISNUMBER(R31),R31*'Scoring Rubric'!$B$6,0)+IF(ISNUMBER(S31),S31*'Scoring Rubric'!$B$7,0)+IF(ISNUMBER(T31),T31*'Scoring Rubric'!$B$8,0)+IF(ISNUMBER(U31),U31*'Scoring Rubric'!$B$9,0)+IF(ISNUMBER(V31),V31*'Scoring Rubric'!$B$10,0)+IF(ISNUMBER(W31),W31*'Scoring Rubric'!$B$11,0))/(IF(ISNUMBER(Q31),'Scoring Rubric'!$B$5,0)+IF(ISNUMBER(R31),'Scoring Rubric'!$B$6,0)+IF(ISNUMBER(S31),'Scoring Rubric'!$B$7,0)+IF(ISNUMBER(T31),'Scoring Rubric'!$B$8,0)+IF(ISNUMBER(U31),'Scoring Rubric'!$B$9,0)+IF(ISNUMBER(V31),'Scoring Rubric'!$B$10,0)+IF(ISNUMBER(W31),'Scoring Rubric'!$B$11,0)),2))</x:f>
      </x:c>
    </x:row>
    <x:row r="32">
      <x:c r="F32" s="24"/>
      <x:c r="G32" s="24"/>
      <x:c r="H32" s="24"/>
      <x:c r="I32" s="24" t="str">
        <x:f>IF(D32="Target","",IF(D32="Backup","",IF(H32="","",H32+3)))</x:f>
      </x:c>
      <x:c r="J32" s="28"/>
      <x:c r="K32" s="28"/>
      <x:c r="L32" s="28"/>
      <x:c r="M32" s="28"/>
      <x:c r="N32" s="29"/>
      <x:c r="O32" s="28" t="str">
        <x:f>IF(J32="","",SUM(J32:M32)*(1+N32))</x:f>
      </x:c>
      <x:c r="Q32" s="33" t="str">
        <x:f>IF(O32="","",IF(COUNT($O$5:$O$34)&lt;2,3,MAX(1,MIN(5,6-((O32-MIN($O$5:$O$34))/(MAX($O$5:$O$34)-MIN($O$5:$O$34))*4)))))</x:f>
      </x:c>
      <x:c r="R32" s="33"/>
      <x:c r="S32" s="33"/>
      <x:c r="T32" s="33"/>
      <x:c r="U32" s="33"/>
      <x:c r="V32" s="33"/>
      <x:c r="W32" s="33"/>
      <x:c r="X32" s="33" t="str">
        <x:f>IF(COUNT(Q32:W32)=0,"",ROUND((IF(ISNUMBER(Q32),Q32*'Scoring Rubric'!$B$5,0)+IF(ISNUMBER(R32),R32*'Scoring Rubric'!$B$6,0)+IF(ISNUMBER(S32),S32*'Scoring Rubric'!$B$7,0)+IF(ISNUMBER(T32),T32*'Scoring Rubric'!$B$8,0)+IF(ISNUMBER(U32),U32*'Scoring Rubric'!$B$9,0)+IF(ISNUMBER(V32),V32*'Scoring Rubric'!$B$10,0)+IF(ISNUMBER(W32),W32*'Scoring Rubric'!$B$11,0))/(IF(ISNUMBER(Q32),'Scoring Rubric'!$B$5,0)+IF(ISNUMBER(R32),'Scoring Rubric'!$B$6,0)+IF(ISNUMBER(S32),'Scoring Rubric'!$B$7,0)+IF(ISNUMBER(T32),'Scoring Rubric'!$B$8,0)+IF(ISNUMBER(U32),'Scoring Rubric'!$B$9,0)+IF(ISNUMBER(V32),'Scoring Rubric'!$B$10,0)+IF(ISNUMBER(W32),'Scoring Rubric'!$B$11,0)),2))</x:f>
      </x:c>
    </x:row>
    <x:row r="33">
      <x:c r="F33" s="24"/>
      <x:c r="G33" s="24"/>
      <x:c r="H33" s="24"/>
      <x:c r="I33" s="24" t="str">
        <x:f>IF(D33="Target","",IF(D33="Backup","",IF(H33="","",H33+3)))</x:f>
      </x:c>
      <x:c r="J33" s="28"/>
      <x:c r="K33" s="28"/>
      <x:c r="L33" s="28"/>
      <x:c r="M33" s="28"/>
      <x:c r="N33" s="29"/>
      <x:c r="O33" s="28" t="str">
        <x:f>IF(J33="","",SUM(J33:M33)*(1+N33))</x:f>
      </x:c>
      <x:c r="Q33" s="33" t="str">
        <x:f>IF(O33="","",IF(COUNT($O$5:$O$34)&lt;2,3,MAX(1,MIN(5,6-((O33-MIN($O$5:$O$34))/(MAX($O$5:$O$34)-MIN($O$5:$O$34))*4)))))</x:f>
      </x:c>
      <x:c r="R33" s="33"/>
      <x:c r="S33" s="33"/>
      <x:c r="T33" s="33"/>
      <x:c r="U33" s="33"/>
      <x:c r="V33" s="33"/>
      <x:c r="W33" s="33"/>
      <x:c r="X33" s="33" t="str">
        <x:f>IF(COUNT(Q33:W33)=0,"",ROUND((IF(ISNUMBER(Q33),Q33*'Scoring Rubric'!$B$5,0)+IF(ISNUMBER(R33),R33*'Scoring Rubric'!$B$6,0)+IF(ISNUMBER(S33),S33*'Scoring Rubric'!$B$7,0)+IF(ISNUMBER(T33),T33*'Scoring Rubric'!$B$8,0)+IF(ISNUMBER(U33),U33*'Scoring Rubric'!$B$9,0)+IF(ISNUMBER(V33),V33*'Scoring Rubric'!$B$10,0)+IF(ISNUMBER(W33),W33*'Scoring Rubric'!$B$11,0))/(IF(ISNUMBER(Q33),'Scoring Rubric'!$B$5,0)+IF(ISNUMBER(R33),'Scoring Rubric'!$B$6,0)+IF(ISNUMBER(S33),'Scoring Rubric'!$B$7,0)+IF(ISNUMBER(T33),'Scoring Rubric'!$B$8,0)+IF(ISNUMBER(U33),'Scoring Rubric'!$B$9,0)+IF(ISNUMBER(V33),'Scoring Rubric'!$B$10,0)+IF(ISNUMBER(W33),'Scoring Rubric'!$B$11,0)),2))</x:f>
      </x:c>
    </x:row>
    <x:row r="34">
      <x:c r="F34" s="24"/>
      <x:c r="G34" s="24"/>
      <x:c r="H34" s="24"/>
      <x:c r="I34" s="24" t="str">
        <x:f>IF(D34="Target","",IF(D34="Backup","",IF(H34="","",H34+3)))</x:f>
      </x:c>
      <x:c r="J34" s="28"/>
      <x:c r="K34" s="28"/>
      <x:c r="L34" s="28"/>
      <x:c r="M34" s="28"/>
      <x:c r="N34" s="29"/>
      <x:c r="O34" s="28" t="str">
        <x:f>IF(J34="","",SUM(J34:M34)*(1+N34))</x:f>
      </x:c>
      <x:c r="Q34" s="33" t="str">
        <x:f>IF(O34="","",IF(COUNT($O$5:$O$34)&lt;2,3,MAX(1,MIN(5,6-((O34-MIN($O$5:$O$34))/(MAX($O$5:$O$34)-MIN($O$5:$O$34))*4)))))</x:f>
      </x:c>
      <x:c r="R34" s="33"/>
      <x:c r="S34" s="33"/>
      <x:c r="T34" s="33"/>
      <x:c r="U34" s="33"/>
      <x:c r="V34" s="33"/>
      <x:c r="W34" s="33"/>
      <x:c r="X34" s="33" t="str">
        <x:f>IF(COUNT(Q34:W34)=0,"",ROUND((IF(ISNUMBER(Q34),Q34*'Scoring Rubric'!$B$5,0)+IF(ISNUMBER(R34),R34*'Scoring Rubric'!$B$6,0)+IF(ISNUMBER(S34),S34*'Scoring Rubric'!$B$7,0)+IF(ISNUMBER(T34),T34*'Scoring Rubric'!$B$8,0)+IF(ISNUMBER(U34),U34*'Scoring Rubric'!$B$9,0)+IF(ISNUMBER(V34),V34*'Scoring Rubric'!$B$10,0)+IF(ISNUMBER(W34),W34*'Scoring Rubric'!$B$11,0))/(IF(ISNUMBER(Q34),'Scoring Rubric'!$B$5,0)+IF(ISNUMBER(R34),'Scoring Rubric'!$B$6,0)+IF(ISNUMBER(S34),'Scoring Rubric'!$B$7,0)+IF(ISNUMBER(T34),'Scoring Rubric'!$B$8,0)+IF(ISNUMBER(U34),'Scoring Rubric'!$B$9,0)+IF(ISNUMBER(V34),'Scoring Rubric'!$B$10,0)+IF(ISNUMBER(W34),'Scoring Rubric'!$B$11,0)),2))</x:f>
      </x:c>
    </x:row>
  </x:sheetData>
  <x:mergeCells>
    <x:mergeCell ref="A1:AH1"/>
    <x:mergeCell ref="A2:AH2"/>
  </x:mergeCells>
  <x:dataValidations count="4">
    <x:dataValidation type="list" sqref="D5:D34">
      <x:formula1>"Target,Backup,RFQ sent,Quoted,Clarifying,CAD pending,Deposit ready,Paid deposit,In production,QC review,Approved,Shipped,Received,Rejected,Paused"</x:formula1>
    </x:dataValidation>
    <x:dataValidation type="list" sqref="Y5:Y34">
      <x:formula1>"Yes,No,Partial,N/A"</x:formula1>
    </x:dataValidation>
    <x:dataValidation type="list" sqref="AA5:AD34">
      <x:formula1>"Yes,No,Partial,N/A"</x:formula1>
    </x:dataValidation>
    <x:dataValidation type="decimal" operator="between" sqref="Q5:W34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30cc02b0b9b40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25" hidden="0" customWidth="1"/>
    <x:col min="5" max="5" width="24" hidden="0" customWidth="1"/>
    <x:col min="6" max="6" width="46" hidden="0" customWidth="1"/>
    <x:col min="7" max="7" width="16" hidden="0" customWidth="1"/>
    <x:col min="8" max="8" width="12" hidden="0" customWidth="1"/>
    <x:col min="9" max="9" width="14" hidden="0" customWidth="1"/>
    <x:col min="10" max="10" width="15" hidden="0" customWidth="1"/>
    <x:col min="11" max="11" width="22" hidden="0" customWidth="1"/>
    <x:col min="12" max="12" width="48" hidden="0" customWidth="1"/>
    <x:col min="13" max="13" width="48" hidden="0" customWidth="1"/>
    <x:col min="14" max="14" width="44" hidden="0" customWidth="1"/>
  </x:cols>
  <x:sheetData>
    <x:row r="1" ht="25.5" customHeight="1">
      <x:c r="A1" s="2" t="str">
        <x:v>Ranked Supplier List</x:v>
      </x:c>
      <x:c r="B1" s="2" t="str">
        <x:v>Ranked Supplier List</x:v>
      </x:c>
      <x:c r="C1" s="2" t="str">
        <x:v>Ranked Supplier List</x:v>
      </x:c>
      <x:c r="D1" s="2" t="str">
        <x:v>Ranked Supplier List</x:v>
      </x:c>
      <x:c r="E1" s="2" t="str">
        <x:v>Ranked Supplier List</x:v>
      </x:c>
      <x:c r="F1" s="2" t="str">
        <x:v>Ranked Supplier List</x:v>
      </x:c>
      <x:c r="G1" s="2" t="str">
        <x:v>Ranked Supplier List</x:v>
      </x:c>
      <x:c r="H1" s="2" t="str">
        <x:v>Ranked Supplier List</x:v>
      </x:c>
      <x:c r="I1" s="2" t="str">
        <x:v>Ranked Supplier List</x:v>
      </x:c>
      <x:c r="J1" s="2" t="str">
        <x:v>Ranked Supplier List</x:v>
      </x:c>
      <x:c r="K1" s="2" t="str">
        <x:v>Ranked Supplier List</x:v>
      </x:c>
      <x:c r="L1" s="2" t="str">
        <x:v>Ranked Supplier List</x:v>
      </x:c>
      <x:c r="M1" s="2" t="str">
        <x:v>Ranked Supplier List</x:v>
      </x:c>
      <x:c r="N1" s="2" t="str">
        <x:v>Ranked Supplier List</x:v>
      </x:c>
    </x:row>
    <x:row r="2" ht="21" customHeight="1">
      <x:c r="A2" s="3" t="str">
        <x:v>Use this as the pre-RFQ shortlist and sentiment baseline.</x:v>
      </x:c>
      <x:c r="B2" s="3" t="str">
        <x:v>Use this as the pre-RFQ shortlist and sentiment baseline.</x:v>
      </x:c>
      <x:c r="C2" s="3" t="str">
        <x:v>Use this as the pre-RFQ shortlist and sentiment baseline.</x:v>
      </x:c>
      <x:c r="D2" s="3" t="str">
        <x:v>Use this as the pre-RFQ shortlist and sentiment baseline.</x:v>
      </x:c>
      <x:c r="E2" s="3" t="str">
        <x:v>Use this as the pre-RFQ shortlist and sentiment baseline.</x:v>
      </x:c>
      <x:c r="F2" s="3" t="str">
        <x:v>Use this as the pre-RFQ shortlist and sentiment baseline.</x:v>
      </x:c>
      <x:c r="G2" s="3" t="str">
        <x:v>Use this as the pre-RFQ shortlist and sentiment baseline.</x:v>
      </x:c>
      <x:c r="H2" s="3" t="str">
        <x:v>Use this as the pre-RFQ shortlist and sentiment baseline.</x:v>
      </x:c>
      <x:c r="I2" s="3" t="str">
        <x:v>Use this as the pre-RFQ shortlist and sentiment baseline.</x:v>
      </x:c>
      <x:c r="J2" s="3" t="str">
        <x:v>Use this as the pre-RFQ shortlist and sentiment baseline.</x:v>
      </x:c>
      <x:c r="K2" s="3" t="str">
        <x:v>Use this as the pre-RFQ shortlist and sentiment baseline.</x:v>
      </x:c>
      <x:c r="L2" s="3" t="str">
        <x:v>Use this as the pre-RFQ shortlist and sentiment baseline.</x:v>
      </x:c>
      <x:c r="M2" s="3" t="str">
        <x:v>Use this as the pre-RFQ shortlist and sentiment baseline.</x:v>
      </x:c>
      <x:c r="N2" s="3" t="str">
        <x:v>Use this as the pre-RFQ shortlist and sentiment baseline.</x:v>
      </x:c>
    </x:row>
    <x:row r="4">
      <x:c r="A4" s="6" t="str">
        <x:v>Rank</x:v>
      </x:c>
      <x:c r="B4" s="7" t="str">
        <x:v>Supplier</x:v>
      </x:c>
      <x:c r="C4" s="7" t="str">
        <x:v>Shortlist</x:v>
      </x:c>
      <x:c r="D4" s="7" t="str">
        <x:v>Type</x:v>
      </x:c>
      <x:c r="E4" s="7" t="str">
        <x:v>Quote Role</x:v>
      </x:c>
      <x:c r="F4" s="7" t="str">
        <x:v>Best Use</x:v>
      </x:c>
      <x:c r="G4" s="7" t="str">
        <x:v>Expected Price</x:v>
      </x:c>
      <x:c r="H4" s="7" t="str">
        <x:v>Sentiment</x:v>
      </x:c>
      <x:c r="I4" s="7" t="str">
        <x:v>Cert Confidence</x:v>
      </x:c>
      <x:c r="J4" s="7" t="str">
        <x:v>Payment Protection</x:v>
      </x:c>
      <x:c r="K4" s="7" t="str">
        <x:v>Trade Assurance</x:v>
      </x:c>
      <x:c r="L4" s="7" t="str">
        <x:v>Risk</x:v>
      </x:c>
      <x:c r="M4" s="7" t="str">
        <x:v>First Ask</x:v>
      </x:c>
      <x:c r="N4" s="8" t="str">
        <x:v>Source URL</x:v>
      </x:c>
    </x:row>
    <x:row r="5">
      <x:c r="A5" s="12" t="n">
        <x:v>1</x:v>
      </x:c>
      <x:c r="B5" s="12" t="str">
        <x:v>Tianyu Gems</x:v>
      </x:c>
      <x:c r="C5" s="12" t="str">
        <x:v>Yes</x:v>
      </x:c>
      <x:c r="D5" s="12" t="str">
        <x:v>Wuzhou custom factory</x:v>
      </x:c>
      <x:c r="E5" s="12" t="str">
        <x:v>Quality baseline</x:v>
      </x:c>
      <x:c r="F5" s="12" t="str">
        <x:v>Custom 14k/18k fine jewelry when cut quality, CAD discipline, and finish matter.</x:v>
      </x:c>
      <x:c r="G5" s="12" t="str">
        <x:v>Medium-high</x:v>
      </x:c>
      <x:c r="H5" s="18" t="n">
        <x:v>4.4</x:v>
      </x:c>
      <x:c r="I5" s="18" t="n">
        <x:v>4.2</x:v>
      </x:c>
      <x:c r="J5" s="18" t="n">
        <x:v>4</x:v>
      </x:c>
      <x:c r="K5" s="12" t="str">
        <x:v>Likely; confirm order channel</x:v>
      </x:c>
      <x:c r="L5" s="12" t="str">
        <x:v>Can cost more than budget factories; confirm chain weight and pear video before deposit.</x:v>
      </x:c>
      <x:c r="M5" s="12" t="str">
        <x:v>Quote certified and uncertified pear options; request CAD, stone video, finished gold weight, and payment via Alibaba if available.</x:v>
      </x:c>
      <x:c r="N5" s="12" t="str">
        <x:v>https://www.tygems.net/</x:v>
      </x:c>
    </x:row>
    <x:row r="6">
      <x:c r="A6" s="13" t="n">
        <x:v>2</x:v>
      </x:c>
      <x:c r="B6" s="13" t="str">
        <x:v>Paston Jewelry</x:v>
      </x:c>
      <x:c r="C6" s="13" t="str">
        <x:v>Yes</x:v>
      </x:c>
      <x:c r="D6" s="13" t="str">
        <x:v>Alibaba-first custom jewelry supplier</x:v>
      </x:c>
      <x:c r="E6" s="13" t="str">
        <x:v>Best Alibaba quote candidate</x:v>
      </x:c>
      <x:c r="F6" s="13" t="str">
        <x:v>Apples-to-apples Alibaba RFQ with Trade Assurance, custom necklace build, and written specs.</x:v>
      </x:c>
      <x:c r="G6" s="13" t="str">
        <x:v>Medium</x:v>
      </x:c>
      <x:c r="H6" s="19" t="n">
        <x:v>4.2</x:v>
      </x:c>
      <x:c r="I6" s="19" t="n">
        <x:v>3.9</x:v>
      </x:c>
      <x:c r="J6" s="19" t="n">
        <x:v>4.5</x:v>
      </x:c>
      <x:c r="K6" s="13" t="str">
        <x:v>Yes; confirm the specific order is covered</x:v>
      </x:c>
      <x:c r="L6" s="13" t="str">
        <x:v>Get stone details in writing; do not accept generic certificate images.</x:v>
      </x:c>
      <x:c r="M6" s="13" t="str">
        <x:v>Use Alibaba RFQ; ask for line-item quote with IGI add-on, chain specs, lead time, and QC milestones.</x:v>
      </x:c>
      <x:c r="N6" s="13" t="str">
        <x:v>https://pastonjewelry.en.alibaba.com/</x:v>
      </x:c>
    </x:row>
    <x:row r="7">
      <x:c r="A7" s="13" t="n">
        <x:v>3</x:v>
      </x:c>
      <x:c r="B7" s="13" t="str">
        <x:v>Fiorese Jewelry</x:v>
      </x:c>
      <x:c r="C7" s="13" t="str">
        <x:v>Yes</x:v>
      </x:c>
      <x:c r="D7" s="13" t="str">
        <x:v>Custom lab diamond jewelry seller</x:v>
      </x:c>
      <x:c r="E7" s="13" t="str">
        <x:v>Certification/transparency baseline</x:v>
      </x:c>
      <x:c r="F7" s="13" t="str">
        <x:v>Lab-diamond-forward custom work where IGI report numbers and stone control are important.</x:v>
      </x:c>
      <x:c r="G7" s="13" t="str">
        <x:v>Medium-high</x:v>
      </x:c>
      <x:c r="H7" s="19" t="n">
        <x:v>4.1</x:v>
      </x:c>
      <x:c r="I7" s="19" t="n">
        <x:v>4.5</x:v>
      </x:c>
      <x:c r="J7" s="19" t="n">
        <x:v>3.5</x:v>
      </x:c>
      <x:c r="K7" s="13" t="str">
        <x:v>Confirm; may be direct-site or invoice workflow</x:v>
      </x:c>
      <x:c r="L7" s="13" t="str">
        <x:v>Potentially higher quote; make sure payment protection terms are explicit.</x:v>
      </x:c>
      <x:c r="M7" s="13" t="str">
        <x:v>Ask for pear options with IGI report number, laser inscription proof, and no-stone-substitution language.</x:v>
      </x:c>
      <x:c r="N7" s="13" t="str">
        <x:v>https://fioresejewelry.com/</x:v>
      </x:c>
    </x:row>
    <x:row r="8">
      <x:c r="A8" s="13" t="n">
        <x:v>4</x:v>
      </x:c>
      <x:c r="B8" s="13" t="str">
        <x:v>LGG Jewelry / Igg Jewelry</x:v>
      </x:c>
      <x:c r="C8" s="13" t="str">
        <x:v>Yes</x:v>
      </x:c>
      <x:c r="D8" s="13" t="str">
        <x:v>Lab diamond and custom jewelry supplier</x:v>
      </x:c>
      <x:c r="E8" s="13" t="str">
        <x:v>Lab-diamond-specific candidate</x:v>
      </x:c>
      <x:c r="F8" s="13" t="str">
        <x:v>Quote candidate if you want lab diamond sourcing to be central rather than an add-on.</x:v>
      </x:c>
      <x:c r="G8" s="13" t="str">
        <x:v>Medium</x:v>
      </x:c>
      <x:c r="H8" s="19" t="n">
        <x:v>4</x:v>
      </x:c>
      <x:c r="I8" s="19" t="n">
        <x:v>4</x:v>
      </x:c>
      <x:c r="J8" s="19" t="n">
        <x:v>3.5</x:v>
      </x:c>
      <x:c r="K8" s="13" t="str">
        <x:v>Confirm</x:v>
      </x:c>
      <x:c r="L8" s="13" t="str">
        <x:v>Less price history in this exact necklace category; verify channel, terms, and QC process.</x:v>
      </x:c>
      <x:c r="M8" s="13" t="str">
        <x:v>Ask for certified pear options, CAD timing, finished gold weight, and whether payment can be done with buyer protection.</x:v>
      </x:c>
      <x:c r="N8" s="13" t="str">
        <x:v>https://www.lggjewelry.com/</x:v>
      </x:c>
    </x:row>
    <x:row r="9">
      <x:c r="A9" s="13" t="n">
        <x:v>5</x:v>
      </x:c>
      <x:c r="B9" s="13" t="str">
        <x:v>Provence Gems</x:v>
      </x:c>
      <x:c r="C9" s="13" t="str">
        <x:v>Yes</x:v>
      </x:c>
      <x:c r="D9" s="13" t="str">
        <x:v>Wuzhou volume custom jewelry vendor</x:v>
      </x:c>
      <x:c r="E9" s="13" t="str">
        <x:v>Price pressure / volume benchmark</x:v>
      </x:c>
      <x:c r="F9" s="13" t="str">
        <x:v>Competitive quote to test the floor price for a 14k custom lab diamond pendant.</x:v>
      </x:c>
      <x:c r="G9" s="13" t="str">
        <x:v>Low-medium</x:v>
      </x:c>
      <x:c r="H9" s="19" t="n">
        <x:v>3.5</x:v>
      </x:c>
      <x:c r="I9" s="19" t="n">
        <x:v>3.5</x:v>
      </x:c>
      <x:c r="J9" s="19" t="n">
        <x:v>4.5</x:v>
      </x:c>
      <x:c r="K9" s="13" t="str">
        <x:v>Yes; confirm the specific order is covered</x:v>
      </x:c>
      <x:c r="L9" s="13" t="str">
        <x:v>Mixed community sentiment; use tight written specs, CAD signoff, and pre-shipment checks.</x:v>
      </x:c>
      <x:c r="M9" s="13" t="str">
        <x:v>Ask for the same spec as Tianyu/Paston and require stone videos before any final payment.</x:v>
      </x:c>
      <x:c r="N9" s="13" t="str">
        <x:v>https://gzprovence.en.alibaba.com/</x:v>
      </x:c>
    </x:row>
    <x:row r="10">
      <x:c r="A10" s="13" t="n">
        <x:v>6</x:v>
      </x:c>
      <x:c r="B10" s="13" t="str">
        <x:v>StarsGem</x:v>
      </x:c>
      <x:c r="C10" s="13" t="str">
        <x:v>Yes</x:v>
      </x:c>
      <x:c r="D10" s="13" t="str">
        <x:v>Reference seller and Wuzhou custom factory</x:v>
      </x:c>
      <x:c r="E10" s="13" t="str">
        <x:v>Reference design / price baseline</x:v>
      </x:c>
      <x:c r="F10" s="13" t="str">
        <x:v>Baseline for the exact visual design; useful if they can customize certificate and chain specs.</x:v>
      </x:c>
      <x:c r="G10" s="13" t="str">
        <x:v>Low-medium</x:v>
      </x:c>
      <x:c r="H10" s="19" t="n">
        <x:v>3.7</x:v>
      </x:c>
      <x:c r="I10" s="19" t="n">
        <x:v>3</x:v>
      </x:c>
      <x:c r="J10" s="19" t="n">
        <x:v>4</x:v>
      </x:c>
      <x:c r="K10" s="13" t="str">
        <x:v>Confirm; mall listing may not equal Alibaba order</x:v>
      </x:c>
      <x:c r="L10" s="13" t="str">
        <x:v>The supplied listing text says none certified; do not assume IGI unless they provide a report number.</x:v>
      </x:c>
      <x:c r="M10" s="13" t="str">
        <x:v>Ask if this exact design can be remade with an IGI pear and a heavier/confirmed 14k chain.</x:v>
      </x:c>
      <x:c r="N10" s="13" t="str">
        <x:v>https://starsgemmall.com/#/detail?=25751_14K+Yellow+Gold+Lab+Diamond+Necklace+1.095ct+AuDP0000190Y-P2.html</x:v>
      </x:c>
    </x:row>
    <x:row r="11">
      <x:c r="A11" s="13" t="n">
        <x:v>7</x:v>
      </x:c>
      <x:c r="B11" s="13" t="str">
        <x:v>Mona Fine Jewelry</x:v>
      </x:c>
      <x:c r="C11" s="13" t="str">
        <x:v>Backup</x:v>
      </x:c>
      <x:c r="D11" s="13" t="str">
        <x:v>Small custom jeweler / direct rep</x:v>
      </x:c>
      <x:c r="E11" s="13" t="str">
        <x:v>Personal-service backup</x:v>
      </x:c>
      <x:c r="F11" s="13" t="str">
        <x:v>More individual custom workflow if you value rep taste and handholding over Alibaba process.</x:v>
      </x:c>
      <x:c r="G11" s="13" t="str">
        <x:v>Medium-high</x:v>
      </x:c>
      <x:c r="H11" s="19" t="n">
        <x:v>3.6</x:v>
      </x:c>
      <x:c r="I11" s="19" t="n">
        <x:v>3.4</x:v>
      </x:c>
      <x:c r="J11" s="19" t="n">
        <x:v>2.8</x:v>
      </x:c>
      <x:c r="K11" s="13" t="str">
        <x:v>Usually not Alibaba-first; confirm</x:v>
      </x:c>
      <x:c r="L11" s="13" t="str">
        <x:v>Harder to compare factory-level terms; buyer protection and timeline need extra clarity.</x:v>
      </x:c>
      <x:c r="M11" s="13" t="str">
        <x:v>Ask for a written invoice, stone sourcing process, and exact refund/remake policy before proceeding.</x:v>
      </x:c>
      <x:c r="N11" s="13" t="str">
        <x:v>https://www.reddit.com/r/Moissanite/wiki/list/</x:v>
      </x:c>
    </x:row>
    <x:row r="12">
      <x:c r="A12" s="13" t="n">
        <x:v>8</x:v>
      </x:c>
      <x:c r="B12" s="13" t="str">
        <x:v>Kuololit</x:v>
      </x:c>
      <x:c r="C12" s="13" t="str">
        <x:v>Backup</x:v>
      </x:c>
      <x:c r="D12" s="13" t="str">
        <x:v>Catalog/value seller with some custom work</x:v>
      </x:c>
      <x:c r="E12" s="13" t="str">
        <x:v>Budget backup</x:v>
      </x:c>
      <x:c r="F12" s="13" t="str">
        <x:v>Simple stock-style 14k pieces; only use for this if quote is much cheaper and specs are nailed down.</x:v>
      </x:c>
      <x:c r="G12" s="13" t="str">
        <x:v>Low</x:v>
      </x:c>
      <x:c r="H12" s="19" t="n">
        <x:v>3</x:v>
      </x:c>
      <x:c r="I12" s="19" t="n">
        <x:v>2.8</x:v>
      </x:c>
      <x:c r="J12" s="19" t="n">
        <x:v>3.2</x:v>
      </x:c>
      <x:c r="K12" s="13" t="str">
        <x:v>Confirm; often AliExpress-style flow</x:v>
      </x:c>
      <x:c r="L12" s="13" t="str">
        <x:v>Less natural fit for a custom IGI pear pendant; communication/QC can be more variable.</x:v>
      </x:c>
      <x:c r="M12" s="13" t="str">
        <x:v>Ask whether they can do original CAD and certified pear sourcing, not only adapt a stock listing.</x:v>
      </x:c>
      <x:c r="N12" s="13" t="str">
        <x:v>https://www.reddit.com/r/Moissanite/wiki/list/</x:v>
      </x:c>
    </x:row>
    <x:row r="13">
      <x:c r="A13" s="13" t="n">
        <x:v>9</x:v>
      </x:c>
      <x:c r="B13" s="13" t="str">
        <x:v>Messi Gems</x:v>
      </x:c>
      <x:c r="C13" s="13" t="str">
        <x:v>Watchlist</x:v>
      </x:c>
      <x:c r="D13" s="13" t="str">
        <x:v>Wuzhou custom jewelry supplier</x:v>
      </x:c>
      <x:c r="E13" s="13" t="str">
        <x:v>Optional comparison</x:v>
      </x:c>
      <x:c r="F13" s="13" t="str">
        <x:v>Maybe quote only if first-wave options disappoint or you need another Wuzhou price point.</x:v>
      </x:c>
      <x:c r="G13" s="13" t="str">
        <x:v>Low-medium</x:v>
      </x:c>
      <x:c r="H13" s="19" t="n">
        <x:v>2.8</x:v>
      </x:c>
      <x:c r="I13" s="19" t="n">
        <x:v>3</x:v>
      </x:c>
      <x:c r="J13" s="19" t="n">
        <x:v>3.8</x:v>
      </x:c>
      <x:c r="K13" s="13" t="str">
        <x:v>Confirm</x:v>
      </x:c>
      <x:c r="L13" s="13" t="str">
        <x:v>Community evidence is thinner and includes serious certificate/stone-substitution concerns; verify hard.</x:v>
      </x:c>
      <x:c r="M13" s="13" t="str">
        <x:v>If quoted, require IGI number before deposit and no-substitution language on the order.</x:v>
      </x:c>
      <x:c r="N13" s="13" t="str">
        <x:v>https://www.alibaba.com/showroom/messi-gems.html</x:v>
      </x:c>
    </x:row>
    <x:row r="14">
      <x:c r="A14" s="14" t="n">
        <x:v>10</x:v>
      </x:c>
      <x:c r="B14" s="14" t="str">
        <x:v>Ouros / Goldenbird</x:v>
      </x:c>
      <x:c r="C14" s="14" t="str">
        <x:v>Skip unless compelling</x:v>
      </x:c>
      <x:c r="D14" s="14" t="str">
        <x:v>India-based custom/lab diamond seller</x:v>
      </x:c>
      <x:c r="E14" s="14" t="str">
        <x:v>Not first-wave</x:v>
      </x:c>
      <x:c r="F14" s="14" t="str">
        <x:v>Use only if you already like a specific listing or want an India-based comparison.</x:v>
      </x:c>
      <x:c r="G14" s="14" t="str">
        <x:v>Medium</x:v>
      </x:c>
      <x:c r="H14" s="20" t="n">
        <x:v>2.5</x:v>
      </x:c>
      <x:c r="I14" s="20" t="n">
        <x:v>3.2</x:v>
      </x:c>
      <x:c r="J14" s="20" t="n">
        <x:v>2.8</x:v>
      </x:c>
      <x:c r="K14" s="14" t="str">
        <x:v>Not Alibaba-first; confirm</x:v>
      </x:c>
      <x:c r="L14" s="14" t="str">
        <x:v>Recent community caution signals mean it should not be the first choice for a sentimental custom piece.</x:v>
      </x:c>
      <x:c r="M14" s="14" t="str">
        <x:v>Ask for written stone sourcing, certification, refund, and inspection process before quote comparison.</x:v>
      </x:c>
      <x:c r="N14" s="14" t="str">
        <x:v>https://www.goldenbirdjewels.com/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594d34a059c4d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10" hidden="0" customWidth="1"/>
    <x:col min="5" max="5" width="62" hidden="0" customWidth="1"/>
    <x:col min="6" max="6" width="48" hidden="0" customWidth="1"/>
  </x:cols>
  <x:sheetData>
    <x:row r="1" ht="25.5" customHeight="1">
      <x:c r="A1" s="2" t="str">
        <x:v>Review Sentiment Log</x:v>
      </x:c>
      <x:c r="B1" s="2" t="str">
        <x:v>Review Sentiment Log</x:v>
      </x:c>
      <x:c r="C1" s="2" t="str">
        <x:v>Review Sentiment Log</x:v>
      </x:c>
      <x:c r="D1" s="2" t="str">
        <x:v>Review Sentiment Log</x:v>
      </x:c>
      <x:c r="E1" s="2" t="str">
        <x:v>Review Sentiment Log</x:v>
      </x:c>
      <x:c r="F1" s="2" t="str">
        <x:v>Review Sentiment Log</x:v>
      </x:c>
    </x:row>
    <x:row r="2" ht="21" customHeight="1">
      <x:c r="A2" s="3" t="str">
        <x:v>Directional public/community signal to update as you find better evidence.</x:v>
      </x:c>
      <x:c r="B2" s="3" t="str">
        <x:v>Directional public/community signal to update as you find better evidence.</x:v>
      </x:c>
      <x:c r="C2" s="3" t="str">
        <x:v>Directional public/community signal to update as you find better evidence.</x:v>
      </x:c>
      <x:c r="D2" s="3" t="str">
        <x:v>Directional public/community signal to update as you find better evidence.</x:v>
      </x:c>
      <x:c r="E2" s="3" t="str">
        <x:v>Directional public/community signal to update as you find better evidence.</x:v>
      </x:c>
      <x:c r="F2" s="3" t="str">
        <x:v>Directional public/community signal to update as you find better evidence.</x:v>
      </x:c>
    </x:row>
    <x:row r="4">
      <x:c r="A4" s="6" t="str">
        <x:v>Supplier</x:v>
      </x:c>
      <x:c r="B4" s="7" t="str">
        <x:v>Platform</x:v>
      </x:c>
      <x:c r="C4" s="7" t="str">
        <x:v>Sentiment</x:v>
      </x:c>
      <x:c r="D4" s="7" t="str">
        <x:v>Score</x:v>
      </x:c>
      <x:c r="E4" s="7" t="str">
        <x:v>Note</x:v>
      </x:c>
      <x:c r="F4" s="8" t="str">
        <x:v>Source URL</x:v>
      </x:c>
    </x:row>
    <x:row r="5">
      <x:c r="A5" s="12" t="str">
        <x:v>Tianyu Gems</x:v>
      </x:c>
      <x:c r="B5" s="12" t="str">
        <x:v>Reddit/community + supplier site</x:v>
      </x:c>
      <x:c r="C5" s="12" t="str">
        <x:v>Positive</x:v>
      </x:c>
      <x:c r="D5" s="18" t="n">
        <x:v>4.4</x:v>
      </x:c>
      <x:c r="E5" s="12" t="str">
        <x:v>Frequently treated as a higher-quality overseas custom option; include as quality baseline.</x:v>
      </x:c>
      <x:c r="F5" s="12" t="str">
        <x:v>https://www.reddit.com/r/Moissanite/wiki/list/</x:v>
      </x:c>
    </x:row>
    <x:row r="6">
      <x:c r="A6" s="13" t="str">
        <x:v>Paston Jewelry</x:v>
      </x:c>
      <x:c r="B6" s="13" t="str">
        <x:v>Reddit/community + Alibaba</x:v>
      </x:c>
      <x:c r="C6" s="13" t="str">
        <x:v>Positive</x:v>
      </x:c>
      <x:c r="D6" s="19" t="n">
        <x:v>4.2</x:v>
      </x:c>
      <x:c r="E6" s="13" t="str">
        <x:v>Strong fit for Alibaba quote workflow; useful for Trade Assurance and direct factory comparison.</x:v>
      </x:c>
      <x:c r="F6" s="13" t="str">
        <x:v>https://pastonjewelry.en.alibaba.com/</x:v>
      </x:c>
    </x:row>
    <x:row r="7">
      <x:c r="A7" s="13" t="str">
        <x:v>Fiorese Jewelry</x:v>
      </x:c>
      <x:c r="B7" s="13" t="str">
        <x:v>Reddit/community + supplier site</x:v>
      </x:c>
      <x:c r="C7" s="13" t="str">
        <x:v>Positive</x:v>
      </x:c>
      <x:c r="D7" s="19" t="n">
        <x:v>4.1</x:v>
      </x:c>
      <x:c r="E7" s="13" t="str">
        <x:v>Good candidate when IGI report number, laser inscription proof, and stone transparency matter.</x:v>
      </x:c>
      <x:c r="F7" s="13" t="str">
        <x:v>https://fioresejewelry.com/</x:v>
      </x:c>
    </x:row>
    <x:row r="8">
      <x:c r="A8" s="13" t="str">
        <x:v>LGG Jewelry / Igg Jewelry</x:v>
      </x:c>
      <x:c r="B8" s="13" t="str">
        <x:v>Reddit/community + supplier site</x:v>
      </x:c>
      <x:c r="C8" s="13" t="str">
        <x:v>Positive/limited</x:v>
      </x:c>
      <x:c r="D8" s="19" t="n">
        <x:v>4</x:v>
      </x:c>
      <x:c r="E8" s="13" t="str">
        <x:v>Promising lab-diamond-specific quote candidate; validate process and payment channel.</x:v>
      </x:c>
      <x:c r="F8" s="13" t="str">
        <x:v>https://www.lggjewelry.com/</x:v>
      </x:c>
    </x:row>
    <x:row r="9">
      <x:c r="A9" s="13" t="str">
        <x:v>Provence Gems</x:v>
      </x:c>
      <x:c r="B9" s="13" t="str">
        <x:v>Reddit/community + Alibaba</x:v>
      </x:c>
      <x:c r="C9" s="13" t="str">
        <x:v>Mixed</x:v>
      </x:c>
      <x:c r="D9" s="19" t="n">
        <x:v>3.5</x:v>
      </x:c>
      <x:c r="E9" s="13" t="str">
        <x:v>Large known vendor with competitive pricing, but use strict spec control and QC checkpoints.</x:v>
      </x:c>
      <x:c r="F9" s="13" t="str">
        <x:v>https://gzprovence.en.alibaba.com/</x:v>
      </x:c>
    </x:row>
    <x:row r="10">
      <x:c r="A10" s="13" t="str">
        <x:v>StarsGem</x:v>
      </x:c>
      <x:c r="B10" s="13" t="str">
        <x:v>Reference listing + community</x:v>
      </x:c>
      <x:c r="C10" s="13" t="str">
        <x:v>Mixed/known</x:v>
      </x:c>
      <x:c r="D10" s="19" t="n">
        <x:v>3.7</x:v>
      </x:c>
      <x:c r="E10" s="13" t="str">
        <x:v>Exact reference design is useful, but pasted listing indicated no certificate for that item.</x:v>
      </x:c>
      <x:c r="F10" s="13" t="str">
        <x:v>https://starsgemmall.com/#/detail?=25751_14K+Yellow+Gold+Lab+Diamond+Necklace+1.095ct+AuDP0000190Y-P2.html</x:v>
      </x:c>
    </x:row>
    <x:row r="11">
      <x:c r="A11" s="13" t="str">
        <x:v>Mona Fine Jewelry</x:v>
      </x:c>
      <x:c r="B11" s="13" t="str">
        <x:v>Reddit/community</x:v>
      </x:c>
      <x:c r="C11" s="13" t="str">
        <x:v>Positive but less Alibaba-oriented</x:v>
      </x:c>
      <x:c r="D11" s="19" t="n">
        <x:v>3.6</x:v>
      </x:c>
      <x:c r="E11" s="13" t="str">
        <x:v>Legit community name, but less ideal if Alibaba Trade Assurance is a hard requirement.</x:v>
      </x:c>
      <x:c r="F11" s="13" t="str">
        <x:v>https://www.reddit.com/r/Moissanite/wiki/list/</x:v>
      </x:c>
    </x:row>
    <x:row r="12">
      <x:c r="A12" s="13" t="str">
        <x:v>Kuololit</x:v>
      </x:c>
      <x:c r="B12" s="13" t="str">
        <x:v>Reddit/community</x:v>
      </x:c>
      <x:c r="C12" s="13" t="str">
        <x:v>Mixed/value</x:v>
      </x:c>
      <x:c r="D12" s="19" t="n">
        <x:v>3</x:v>
      </x:c>
      <x:c r="E12" s="13" t="str">
        <x:v>Value-oriented; fine for simple stock-style builds, less natural for certified custom pear pendant.</x:v>
      </x:c>
      <x:c r="F12" s="13" t="str">
        <x:v>https://www.reddit.com/r/Moissanite/wiki/list/</x:v>
      </x:c>
    </x:row>
    <x:row r="13">
      <x:c r="A13" s="13" t="str">
        <x:v>Messi Gems</x:v>
      </x:c>
      <x:c r="B13" s="13" t="str">
        <x:v>Alibaba/community</x:v>
      </x:c>
      <x:c r="C13" s="13" t="str">
        <x:v>Caution</x:v>
      </x:c>
      <x:c r="D13" s="19" t="n">
        <x:v>2.8</x:v>
      </x:c>
      <x:c r="E13" s="13" t="str">
        <x:v>Real supplier profile, but verify certificate and stone identity before any deposit.</x:v>
      </x:c>
      <x:c r="F13" s="13" t="str">
        <x:v>https://www.alibaba.com/showroom/messi-gems.html</x:v>
      </x:c>
    </x:row>
    <x:row r="14">
      <x:c r="A14" s="14" t="str">
        <x:v>Ouros / Goldenbird</x:v>
      </x:c>
      <x:c r="B14" s="14" t="str">
        <x:v>Community/direct site</x:v>
      </x:c>
      <x:c r="C14" s="14" t="str">
        <x:v>Caution</x:v>
      </x:c>
      <x:c r="D14" s="20" t="n">
        <x:v>2.5</x:v>
      </x:c>
      <x:c r="E14" s="14" t="str">
        <x:v>Known name but not first-wave for this Alibaba-oriented sourcing flow.</x:v>
      </x:c>
      <x:c r="F14" s="14" t="str">
        <x:v>https://www.goldenbirdjewels.com/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0b39c152aa54b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72" hidden="0" customWidth="1"/>
    <x:col min="4" max="4" width="58" hidden="0" customWidth="1"/>
  </x:cols>
  <x:sheetData>
    <x:row r="1" ht="25.5" customHeight="1">
      <x:c r="A1" s="2" t="str">
        <x:v>Question Bank</x:v>
      </x:c>
      <x:c r="B1" s="2" t="str">
        <x:v>Question Bank</x:v>
      </x:c>
      <x:c r="C1" s="2" t="str">
        <x:v>Question Bank</x:v>
      </x:c>
      <x:c r="D1" s="2" t="str">
        <x:v>Question Bank</x:v>
      </x:c>
    </x:row>
    <x:row r="2" ht="21" customHeight="1">
      <x:c r="A2" s="3" t="str">
        <x:v>Copy these into supplier chats as the RFQ advances.</x:v>
      </x:c>
      <x:c r="B2" s="3" t="str">
        <x:v>Copy these into supplier chats as the RFQ advances.</x:v>
      </x:c>
      <x:c r="C2" s="3" t="str">
        <x:v>Copy these into supplier chats as the RFQ advances.</x:v>
      </x:c>
      <x:c r="D2" s="3" t="str">
        <x:v>Copy these into supplier chats as the RFQ advances.</x:v>
      </x:c>
    </x:row>
    <x:row r="4">
      <x:c r="A4" s="6" t="str">
        <x:v>Stage</x:v>
      </x:c>
      <x:c r="B4" s="7" t="str">
        <x:v>Priority</x:v>
      </x:c>
      <x:c r="C4" s="7" t="str">
        <x:v>Question</x:v>
      </x:c>
      <x:c r="D4" s="8" t="str">
        <x:v>Why It Matters</x:v>
      </x:c>
    </x:row>
    <x:row r="5">
      <x:c r="A5" s="12" t="str">
        <x:v>Opening RFQ</x:v>
      </x:c>
      <x:c r="B5" s="12" t="str">
        <x:v>Required</x:v>
      </x:c>
      <x:c r="C5" s="12" t="str">
        <x:v>Can you make this necklace in solid 14k yellow gold or higher, not plated, vermeil, or gold-filled?</x:v>
      </x:c>
      <x:c r="D5" s="12" t="str">
        <x:v>Confirms metal floor and prevents accidental plated quotes.</x:v>
      </x:c>
    </x:row>
    <x:row r="6">
      <x:c r="A6" s="13" t="str">
        <x:v>Opening RFQ</x:v>
      </x:c>
      <x:c r="B6" s="13" t="str">
        <x:v>Required</x:v>
      </x:c>
      <x:c r="C6" s="13" t="str">
        <x:v>Please quote a 40+5 cm chain and also state the chain type, width/thickness, clasp type, and finished gold weight in grams.</x:v>
      </x:c>
      <x:c r="D6" s="13" t="str">
        <x:v>Most price/quality gaps hide in chain gauge and total gold weight.</x:v>
      </x:c>
    </x:row>
    <x:row r="7">
      <x:c r="A7" s="13" t="str">
        <x:v>Stone sourcing</x:v>
      </x:c>
      <x:c r="B7" s="13" t="str">
        <x:v>Required</x:v>
      </x:c>
      <x:c r="C7" s="13" t="str">
        <x:v>Please quote the pear lab diamond around 0.90-1.00 ct, about 5.3 x 8.3 mm, D-F color, VS or better, with and without IGI.</x:v>
      </x:c>
      <x:c r="D7" s="13" t="str">
        <x:v>Creates the core apples-to-apples comparison.</x:v>
      </x:c>
    </x:row>
    <x:row r="8">
      <x:c r="A8" s="13" t="str">
        <x:v>Stone sourcing</x:v>
      </x:c>
      <x:c r="B8" s="13" t="str">
        <x:v>Required</x:v>
      </x:c>
      <x:c r="C8" s="13" t="str">
        <x:v>If certified, please provide the IGI report number before deposit and a photo/video of the laser inscription before final payment.</x:v>
      </x:c>
      <x:c r="D8" s="13" t="str">
        <x:v>Prevents relying on generic certificate images.</x:v>
      </x:c>
    </x:row>
    <x:row r="9">
      <x:c r="A9" s="13" t="str">
        <x:v>Stone sourcing</x:v>
      </x:c>
      <x:c r="B9" s="13" t="str">
        <x:v>Preferred</x:v>
      </x:c>
      <x:c r="C9" s="13" t="str">
        <x:v>Please send a tweezer video of the pear in daylight and office light, plus measurements, depth/table if available, and growth method.</x:v>
      </x:c>
      <x:c r="D9" s="13" t="str">
        <x:v>Pear stones can show bow-tie, windowing, or shape issues that specs alone miss.</x:v>
      </x:c>
    </x:row>
    <x:row r="10">
      <x:c r="A10" s="13" t="str">
        <x:v>Design/CAD</x:v>
      </x:c>
      <x:c r="B10" s="13" t="str">
        <x:v>Required</x:v>
      </x:c>
      <x:c r="C10" s="13" t="str">
        <x:v>Please provide CAD/rendering for approval before production, showing bail, prongs, stone measurements, chain connection, and finished pendant dimensions.</x:v>
      </x:c>
      <x:c r="D10" s="13" t="str">
        <x:v>Locks the design before gold and stone setting work begins.</x:v>
      </x:c>
    </x:row>
    <x:row r="11">
      <x:c r="A11" s="13" t="str">
        <x:v>Design/CAD</x:v>
      </x:c>
      <x:c r="B11" s="13" t="str">
        <x:v>Preferred</x:v>
      </x:c>
      <x:c r="C11" s="13" t="str">
        <x:v>Can you match the reference layout: small round diamond above a pear drop, minimal yellow-gold bail, delicate oval-link/cable chain, and low visual bulk?</x:v>
      </x:c>
      <x:c r="D11" s="13" t="str">
        <x:v>Keeps the piece close to the reference photo.</x:v>
      </x:c>
    </x:row>
    <x:row r="12">
      <x:c r="A12" s="13" t="str">
        <x:v>Commercial</x:v>
      </x:c>
      <x:c r="B12" s="13" t="str">
        <x:v>Required</x:v>
      </x:c>
      <x:c r="C12" s="13" t="str">
        <x:v>Please itemize base necklace price, IGI certificate fee, CAD fee if any, shipping, payment terms, production time, and any Alibaba Trade Assurance coverage.</x:v>
      </x:c>
      <x:c r="D12" s="13" t="str">
        <x:v>Separates true price differences from add-ons.</x:v>
      </x:c>
    </x:row>
    <x:row r="13">
      <x:c r="A13" s="13" t="str">
        <x:v>Commercial</x:v>
      </x:c>
      <x:c r="B13" s="13" t="str">
        <x:v>Required</x:v>
      </x:c>
      <x:c r="C13" s="13" t="str">
        <x:v>Please state refund/remake policy if the finished piece does not match approved CAD/specs or if the stone differs from the approved certificate.</x:v>
      </x:c>
      <x:c r="D13" s="13" t="str">
        <x:v>Creates leverage before the order exists.</x:v>
      </x:c>
    </x:row>
    <x:row r="14">
      <x:c r="A14" s="14" t="str">
        <x:v>Pre-shipment QC</x:v>
      </x:c>
      <x:c r="B14" s="14" t="str">
        <x:v>Required</x:v>
      </x:c>
      <x:c r="C14" s="14" t="str">
        <x:v>Before final payment/shipment, please send photos/video of the finished necklace, scale weight, chain length on ruler, 585 stamp, stone close-ups, and clasp.</x:v>
      </x:c>
      <x:c r="D14" s="14" t="str">
        <x:v>Final checkpoint before the piece leaves the supplier.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87eb0f94eea45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2" hidden="0" customWidth="1"/>
    <x:col min="4" max="4" width="28" hidden="0" customWidth="1"/>
  </x:cols>
  <x:sheetData>
    <x:row r="1" ht="25.5" customHeight="1">
      <x:c r="A1" s="2" t="str">
        <x:v>QC Checklist</x:v>
      </x:c>
      <x:c r="B1" s="2" t="str">
        <x:v>QC Checklist</x:v>
      </x:c>
      <x:c r="C1" s="2" t="str">
        <x:v>QC Checklist</x:v>
      </x:c>
      <x:c r="D1" s="2" t="str">
        <x:v>QC Checklist</x:v>
      </x:c>
    </x:row>
    <x:row r="2" ht="21" customHeight="1">
      <x:c r="A2" s="3" t="str">
        <x:v>Use as gates before deposit, production, final payment, and shipment.</x:v>
      </x:c>
      <x:c r="B2" s="3" t="str">
        <x:v>Use as gates before deposit, production, final payment, and shipment.</x:v>
      </x:c>
      <x:c r="C2" s="3" t="str">
        <x:v>Use as gates before deposit, production, final payment, and shipment.</x:v>
      </x:c>
      <x:c r="D2" s="3" t="str">
        <x:v>Use as gates before deposit, production, final payment, and shipment.</x:v>
      </x:c>
    </x:row>
    <x:row r="4">
      <x:c r="A4" s="6" t="str">
        <x:v>Category</x:v>
      </x:c>
      <x:c r="B4" s="7" t="str">
        <x:v>Check</x:v>
      </x:c>
      <x:c r="C4" s="7" t="str">
        <x:v>Proof to Request</x:v>
      </x:c>
      <x:c r="D4" s="8" t="str">
        <x:v>Gate</x:v>
      </x:c>
    </x:row>
    <x:row r="5">
      <x:c r="A5" s="12" t="str">
        <x:v>Spec</x:v>
      </x:c>
      <x:c r="B5" s="12" t="str">
        <x:v>Reference design matches two-stone vertical drop</x:v>
      </x:c>
      <x:c r="C5" s="12" t="str">
        <x:v>CAD/render/photo</x:v>
      </x:c>
      <x:c r="D5" s="12" t="str">
        <x:v>Required before production</x:v>
      </x:c>
    </x:row>
    <x:row r="6">
      <x:c r="A6" s="13" t="str">
        <x:v>Metal</x:v>
      </x:c>
      <x:c r="B6" s="13" t="str">
        <x:v>Solid 14k yellow gold or higher; 585 stamp visible</x:v>
      </x:c>
      <x:c r="C6" s="13" t="str">
        <x:v>Macro photo/video</x:v>
      </x:c>
      <x:c r="D6" s="13" t="str">
        <x:v>Required before final payment</x:v>
      </x:c>
    </x:row>
    <x:row r="7">
      <x:c r="A7" s="13" t="str">
        <x:v>Metal</x:v>
      </x:c>
      <x:c r="B7" s="13" t="str">
        <x:v>Finished gold weight provided in grams</x:v>
      </x:c>
      <x:c r="C7" s="13" t="str">
        <x:v>Scale photo or written QC sheet</x:v>
      </x:c>
      <x:c r="D7" s="13" t="str">
        <x:v>Required before final payment</x:v>
      </x:c>
    </x:row>
    <x:row r="8">
      <x:c r="A8" s="13" t="str">
        <x:v>Chain</x:v>
      </x:c>
      <x:c r="B8" s="13" t="str">
        <x:v>40+5 cm length or chosen length confirmed</x:v>
      </x:c>
      <x:c r="C8" s="13" t="str">
        <x:v>Ruler photo</x:v>
      </x:c>
      <x:c r="D8" s="13" t="str">
        <x:v>Required before final payment</x:v>
      </x:c>
    </x:row>
    <x:row r="9">
      <x:c r="A9" s="13" t="str">
        <x:v>Chain</x:v>
      </x:c>
      <x:c r="B9" s="13" t="str">
        <x:v>Chain type and width/thickness match order</x:v>
      </x:c>
      <x:c r="C9" s="13" t="str">
        <x:v>Macro photo + written measurement</x:v>
      </x:c>
      <x:c r="D9" s="13" t="str">
        <x:v>Required before final payment</x:v>
      </x:c>
    </x:row>
    <x:row r="10">
      <x:c r="A10" s="13" t="str">
        <x:v>Main stone</x:v>
      </x:c>
      <x:c r="B10" s="13" t="str">
        <x:v>Pear lab diamond 0.90-1.00 ct, D-F, VS+, approved dimensions</x:v>
      </x:c>
      <x:c r="C10" s="13" t="str">
        <x:v>Stone video/spec sheet</x:v>
      </x:c>
      <x:c r="D10" s="13" t="str">
        <x:v>Required before deposit</x:v>
      </x:c>
    </x:row>
    <x:row r="11">
      <x:c r="A11" s="13" t="str">
        <x:v>Main stone</x:v>
      </x:c>
      <x:c r="B11" s="13" t="str">
        <x:v>IGI report number verified if certified option is chosen</x:v>
      </x:c>
      <x:c r="C11" s="13" t="str">
        <x:v>IGI report link + inscription photo/video</x:v>
      </x:c>
      <x:c r="D11" s="13" t="str">
        <x:v>Required before final payment</x:v>
      </x:c>
    </x:row>
    <x:row r="12">
      <x:c r="A12" s="13" t="str">
        <x:v>Accent stone</x:v>
      </x:c>
      <x:c r="B12" s="13" t="str">
        <x:v>Round 0.15-0.20 ct lab diamond, D-F, VS+ or agreed equivalent</x:v>
      </x:c>
      <x:c r="C12" s="13" t="str">
        <x:v>Written specs/photo</x:v>
      </x:c>
      <x:c r="D12" s="13" t="str">
        <x:v>Required before production</x:v>
      </x:c>
    </x:row>
    <x:row r="13">
      <x:c r="A13" s="13" t="str">
        <x:v>Setting</x:v>
      </x:c>
      <x:c r="B13" s="13" t="str">
        <x:v>Prongs secure, no crooked pear, no tilted accent, clean bail alignment</x:v>
      </x:c>
      <x:c r="C13" s="13" t="str">
        <x:v>360 finished video</x:v>
      </x:c>
      <x:c r="D13" s="13" t="str">
        <x:v>Required before shipment</x:v>
      </x:c>
    </x:row>
    <x:row r="14">
      <x:c r="A14" s="13" t="str">
        <x:v>Commercial</x:v>
      </x:c>
      <x:c r="B14" s="13" t="str">
        <x:v>Alibaba Trade Assurance/order contract matches spec and add-ons</x:v>
      </x:c>
      <x:c r="C14" s="13" t="str">
        <x:v>Order page screenshot/PDF</x:v>
      </x:c>
      <x:c r="D14" s="13" t="str">
        <x:v>Required before deposit</x:v>
      </x:c>
    </x:row>
    <x:row r="15">
      <x:c r="A15" s="14" t="str">
        <x:v>Shipping</x:v>
      </x:c>
      <x:c r="B15" s="14" t="str">
        <x:v>Carrier, tracking, declared description/value, and insurance terms known</x:v>
      </x:c>
      <x:c r="C15" s="14" t="str">
        <x:v>Shipping quote/invoice</x:v>
      </x:c>
      <x:c r="D15" s="14" t="str">
        <x:v>Required before shipment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e6de1f4ae7749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0" hidden="0" customWidth="1"/>
    <x:col min="3" max="3" width="5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26" hidden="0" customWidth="1"/>
  </x:cols>
  <x:sheetData>
    <x:row r="1" ht="25.5" customHeight="1">
      <x:c r="A1" s="2" t="str">
        <x:v>Reference Spec</x:v>
      </x:c>
      <x:c r="B1" s="2" t="str">
        <x:v>Reference Spec</x:v>
      </x:c>
      <x:c r="C1" s="2" t="str">
        <x:v>Reference Spec</x:v>
      </x:c>
      <x:c r="D1" s="2" t="str">
        <x:v>Reference Spec</x:v>
      </x:c>
      <x:c r="E1" s="2" t="str">
        <x:v>Reference Spec</x:v>
      </x:c>
      <x:c r="F1" s="2" t="str">
        <x:v>Reference Spec</x:v>
      </x:c>
      <x:c r="G1" s="2" t="str">
        <x:v>Reference Spec</x:v>
      </x:c>
      <x:c r="H1" s="2" t="str">
        <x:v>Reference Spec</x:v>
      </x:c>
      <x:c r="I1" s="2" t="str">
        <x:v>Reference Spec</x:v>
      </x:c>
      <x:c r="J1" s="2" t="str">
        <x:v>Reference Spec</x:v>
      </x:c>
    </x:row>
    <x:row r="2" ht="21" customHeight="1">
      <x:c r="A2" s="3" t="str">
        <x:v>Reference necklace requirements and non-negotiables.</x:v>
      </x:c>
      <x:c r="B2" s="3" t="str">
        <x:v>Reference necklace requirements and non-negotiables.</x:v>
      </x:c>
      <x:c r="C2" s="3" t="str">
        <x:v>Reference necklace requirements and non-negotiables.</x:v>
      </x:c>
      <x:c r="D2" s="3" t="str">
        <x:v>Reference necklace requirements and non-negotiables.</x:v>
      </x:c>
      <x:c r="E2" s="3" t="str">
        <x:v>Reference necklace requirements and non-negotiables.</x:v>
      </x:c>
      <x:c r="F2" s="3" t="str">
        <x:v>Reference necklace requirements and non-negotiables.</x:v>
      </x:c>
      <x:c r="G2" s="3" t="str">
        <x:v>Reference necklace requirements and non-negotiables.</x:v>
      </x:c>
      <x:c r="H2" s="3" t="str">
        <x:v>Reference necklace requirements and non-negotiables.</x:v>
      </x:c>
      <x:c r="I2" s="3" t="str">
        <x:v>Reference necklace requirements and non-negotiables.</x:v>
      </x:c>
      <x:c r="J2" s="3" t="str">
        <x:v>Reference necklace requirements and non-negotiables.</x:v>
      </x:c>
    </x:row>
    <x:row r="4">
      <x:c r="A4" s="6" t="str">
        <x:v>Field</x:v>
      </x:c>
      <x:c r="B4" s="8" t="str">
        <x:v>Target / Note</x:v>
      </x:c>
    </x:row>
    <x:row r="5">
      <x:c r="A5" s="12" t="str">
        <x:v>Reference style</x:v>
      </x:c>
      <x:c r="B5" s="12" t="str">
        <x:v>Two-stone drop necklace: small round lab diamond above pear lab diamond</x:v>
      </x:c>
    </x:row>
    <x:row r="6">
      <x:c r="A6" s="13" t="str">
        <x:v>Reference URL</x:v>
      </x:c>
      <x:c r="B6" s="13" t="str">
        <x:v>https://starsgemmall.com/#/detail?=25751_14K+Yellow+Gold+Lab+Diamond+Necklace+1.095ct+AuDP0000190Y-P2.html</x:v>
      </x:c>
    </x:row>
    <x:row r="7">
      <x:c r="A7" s="13" t="str">
        <x:v>Known StarsGem listing title</x:v>
      </x:c>
      <x:c r="B7" s="13" t="str">
        <x:v>14K Yellow Gold Lab Diamond Necklace 1.095ct AuDP0000190Y-P2</x:v>
      </x:c>
    </x:row>
    <x:row r="8">
      <x:c r="A8" s="13" t="str">
        <x:v>Certificate status from pasted listing</x:v>
      </x:c>
      <x:c r="B8" s="13" t="str">
        <x:v>Product Abstract: None Certified / 无证书</x:v>
      </x:c>
    </x:row>
    <x:row r="9">
      <x:c r="A9" s="13" t="str">
        <x:v>Metal floor</x:v>
      </x:c>
      <x:c r="B9" s="13" t="str">
        <x:v>Solid 14k yellow gold minimum; 18k yellow gold acceptable as upgrade quote</x:v>
      </x:c>
    </x:row>
    <x:row r="10">
      <x:c r="A10" s="13" t="str">
        <x:v>Chain target</x:v>
      </x:c>
      <x:c r="B10" s="13" t="str">
        <x:v>40+5 cm adjustable chain, delicate oval-link/cable look, lobster clasp preferred</x:v>
      </x:c>
    </x:row>
    <x:row r="11">
      <x:c r="A11" s="13" t="str">
        <x:v>Main stone target</x:v>
      </x:c>
      <x:c r="B11" s="13" t="str">
        <x:v>Pear lab diamond around 0.90-1.00 ct; reference 0.935 ct, about 5.3 x 8.3 mm</x:v>
      </x:c>
    </x:row>
    <x:row r="12">
      <x:c r="A12" s="13" t="str">
        <x:v>Main stone quality target</x:v>
      </x:c>
      <x:c r="B12" s="13" t="str">
        <x:v>D-F color, VS or better, eye-clean, no obvious bow-tie/windowing</x:v>
      </x:c>
    </x:row>
    <x:row r="13">
      <x:c r="A13" s="13" t="str">
        <x:v>Accent stone target</x:v>
      </x:c>
      <x:c r="B13" s="13" t="str">
        <x:v>Round lab diamond around 0.15-0.20 ct; reference 0.16 ct, about 3.4 mm</x:v>
      </x:c>
    </x:row>
    <x:row r="14">
      <x:c r="A14" s="13" t="str">
        <x:v>Certification preference</x:v>
      </x:c>
      <x:c r="B14" s="13" t="str">
        <x:v>Ask every supplier for two quotes: uncertified pear and IGI-certified pear</x:v>
      </x:c>
    </x:row>
    <x:row r="15">
      <x:c r="A15" s="13" t="str">
        <x:v>Non-negotiables</x:v>
      </x:c>
      <x:c r="B15" s="13" t="str">
        <x:v>Written spec, CAD approval, real stone video, report number if certified, pre-shipment QC</x:v>
      </x:c>
    </x:row>
    <x:row r="16">
      <x:c r="A16" s="14" t="str">
        <x:v>Nice-to-have</x:v>
      </x:c>
      <x:c r="B16" s="14" t="str">
        <x:v>Laser inscription video, caliper measurements, scale weight, no-substitution language</x:v>
      </x:c>
    </x:row>
    <x:row r="20">
      <x:c r="A20" s="6" t="str">
        <x:v>Source</x:v>
      </x:c>
      <x:c r="B20" s="7" t="str">
        <x:v>URL</x:v>
      </x:c>
      <x:c r="C20" s="8" t="str">
        <x:v>Use</x:v>
      </x:c>
    </x:row>
    <x:row r="21">
      <x:c r="A21" s="12" t="str">
        <x:v>StarsGem reference listing</x:v>
      </x:c>
      <x:c r="B21" s="12" t="str">
        <x:v>https://starsgemmall.com/#/detail?=25751_14K+Yellow+Gold+Lab+Diamond+Necklace+1.095ct+AuDP0000190Y-P2.html</x:v>
      </x:c>
      <x:c r="C21" s="12" t="str">
        <x:v>Reference design URL supplied by user; pasted listing said the product abstract/certificate status was none certified.</x:v>
      </x:c>
    </x:row>
    <x:row r="22">
      <x:c r="A22" s="13" t="str">
        <x:v>r/Moissanite vendor list</x:v>
      </x:c>
      <x:c r="B22" s="13" t="str">
        <x:v>https://www.reddit.com/r/Moissanite/wiki/list/</x:v>
      </x:c>
      <x:c r="C22" s="13" t="str">
        <x:v>Community vendor directory used to validate which overseas/custom vendors are commonly tracked by buyers.</x:v>
      </x:c>
    </x:row>
    <x:row r="23">
      <x:c r="A23" s="13" t="str">
        <x:v>r/Moissanite FAQ</x:v>
      </x:c>
      <x:c r="B23" s="13" t="str">
        <x:v>https://www.reddit.com/r/Moissanite/wiki/index/</x:v>
      </x:c>
      <x:c r="C23" s="13" t="str">
        <x:v>Community guidance and overseas-vendor context; use as directional sentiment, not a guarantee.</x:v>
      </x:c>
    </x:row>
    <x:row r="24">
      <x:c r="A24" s="13" t="str">
        <x:v>Tianyu Gems</x:v>
      </x:c>
      <x:c r="B24" s="13" t="str">
        <x:v>https://www.tygems.net/</x:v>
      </x:c>
      <x:c r="C24" s="13" t="str">
        <x:v>Custom jewelry and lab-grown gemstone/jewelry manufacturer reference.</x:v>
      </x:c>
    </x:row>
    <x:row r="25">
      <x:c r="A25" s="13" t="str">
        <x:v>Paston Jewelry Alibaba</x:v>
      </x:c>
      <x:c r="B25" s="13" t="str">
        <x:v>https://pastonjewelry.en.alibaba.com/</x:v>
      </x:c>
      <x:c r="C25" s="13" t="str">
        <x:v>Alibaba storefront for Trade Assurance-oriented quote path.</x:v>
      </x:c>
    </x:row>
    <x:row r="26">
      <x:c r="A26" s="13" t="str">
        <x:v>Fiorese Jewelry</x:v>
      </x:c>
      <x:c r="B26" s="13" t="str">
        <x:v>https://fioresejewelry.com/</x:v>
      </x:c>
      <x:c r="C26" s="13" t="str">
        <x:v>Custom lab diamond/fine jewelry supplier; useful comparison for certified lab diamond options.</x:v>
      </x:c>
    </x:row>
    <x:row r="27">
      <x:c r="A27" s="13" t="str">
        <x:v>LGG Jewelry</x:v>
      </x:c>
      <x:c r="B27" s="13" t="str">
        <x:v>https://www.lggjewelry.com/</x:v>
      </x:c>
      <x:c r="C27" s="13" t="str">
        <x:v>Lab diamond and custom jewelry supplier to include in first quote wave.</x:v>
      </x:c>
    </x:row>
    <x:row r="28">
      <x:c r="A28" s="13" t="str">
        <x:v>Provence Gems Alibaba</x:v>
      </x:c>
      <x:c r="B28" s="13" t="str">
        <x:v>https://gzprovence.en.alibaba.com/</x:v>
      </x:c>
      <x:c r="C28" s="13" t="str">
        <x:v>Alibaba-facing quote candidate for price pressure and volume-factory comparison.</x:v>
      </x:c>
    </x:row>
    <x:row r="29">
      <x:c r="A29" s="13" t="str">
        <x:v>Alibaba Trade Assurance</x:v>
      </x:c>
      <x:c r="B29" s="13" t="str">
        <x:v>https://tradeassurance.alibaba.com/</x:v>
      </x:c>
      <x:c r="C29" s="13" t="str">
        <x:v>Payment protection and order-contract structure for supplier quotes.</x:v>
      </x:c>
    </x:row>
    <x:row r="30">
      <x:c r="A30" s="13" t="str">
        <x:v>IGI lab-grown diamond reports</x:v>
      </x:c>
      <x:c r="B30" s="13" t="str">
        <x:v>https://www.igi.org/reports/</x:v>
      </x:c>
      <x:c r="C30" s="13" t="str">
        <x:v>Reference for verifying report numbers and grading/report details before approval.</x:v>
      </x:c>
    </x:row>
    <x:row r="31">
      <x:c r="A31" s="14" t="str">
        <x:v>CBP internet purchases guidance</x:v>
      </x:c>
      <x:c r="B31" s="14" t="str">
        <x:v>https://www.cbp.gov/trade/basic-import-export/internet-purchases</x:v>
      </x:c>
      <x:c r="C31" s="14" t="str">
        <x:v>Import duty/tax/shipping compliance context for personal U.S. purchases.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350259e43d747a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2" hidden="0" customWidth="1"/>
    <x:col min="4" max="4" width="42" hidden="0" customWidth="1"/>
  </x:cols>
  <x:sheetData>
    <x:row r="1" ht="25.5" customHeight="1">
      <x:c r="A1" s="2" t="str">
        <x:v>Scoring Rubric</x:v>
      </x:c>
      <x:c r="B1" s="2" t="str">
        <x:v>Scoring Rubric</x:v>
      </x:c>
      <x:c r="C1" s="2" t="str">
        <x:v>Scoring Rubric</x:v>
      </x:c>
      <x:c r="D1" s="2" t="str">
        <x:v>Scoring Rubric</x:v>
      </x:c>
    </x:row>
    <x:row r="2" ht="21" customHeight="1">
      <x:c r="A2" s="3" t="str">
        <x:v>Prepared 2026-07-07</x:v>
      </x:c>
      <x:c r="B2" s="3" t="str">
        <x:v>Prepared 2026-07-07</x:v>
      </x:c>
      <x:c r="C2" s="3" t="str">
        <x:v>Prepared 2026-07-07</x:v>
      </x:c>
      <x:c r="D2" s="3" t="str">
        <x:v>Prepared 2026-07-07</x:v>
      </x:c>
    </x:row>
    <x:row r="4">
      <x:c r="A4" s="6" t="str">
        <x:v>Metric</x:v>
      </x:c>
      <x:c r="B4" s="7" t="str">
        <x:v>Weight</x:v>
      </x:c>
      <x:c r="C4" s="7" t="str">
        <x:v>What a 5 means</x:v>
      </x:c>
      <x:c r="D4" s="8" t="str">
        <x:v>What a 1 means</x:v>
      </x:c>
    </x:row>
    <x:row r="5">
      <x:c r="A5" s="12" t="str">
        <x:v>Price</x:v>
      </x:c>
      <x:c r="B5" s="15" t="n">
        <x:v>0.2</x:v>
      </x:c>
      <x:c r="C5" s="12" t="str">
        <x:v>Lowest landed price among comparable offers</x:v>
      </x:c>
      <x:c r="D5" s="12" t="str">
        <x:v>Highest or unclear landed price</x:v>
      </x:c>
    </x:row>
    <x:row r="6">
      <x:c r="A6" s="13" t="str">
        <x:v>Quality sentiment</x:v>
      </x:c>
      <x:c r="B6" s="16" t="n">
        <x:v>0.2</x:v>
      </x:c>
      <x:c r="C6" s="13" t="str">
        <x:v>Strong reviewer/community history for custom jewelry</x:v>
      </x:c>
      <x:c r="D6" s="13" t="str">
        <x:v>Thin or concerning public signal</x:v>
      </x:c>
    </x:row>
    <x:row r="7">
      <x:c r="A7" s="13" t="str">
        <x:v>Spec match</x:v>
      </x:c>
      <x:c r="B7" s="16" t="n">
        <x:v>0.2</x:v>
      </x:c>
      <x:c r="C7" s="13" t="str">
        <x:v>Matches design, gold, chain, stones, and CAD exactly</x:v>
      </x:c>
      <x:c r="D7" s="13" t="str">
        <x:v>Generic or materially different build</x:v>
      </x:c>
    </x:row>
    <x:row r="8">
      <x:c r="A8" s="13" t="str">
        <x:v>Certificate transparency</x:v>
      </x:c>
      <x:c r="B8" s="16" t="n">
        <x:v>0.15</x:v>
      </x:c>
      <x:c r="C8" s="13" t="str">
        <x:v>IGI report number and inscription proof before final payment</x:v>
      </x:c>
      <x:c r="D8" s="13" t="str">
        <x:v>Certificate vague, generic, or unavailable</x:v>
      </x:c>
    </x:row>
    <x:row r="9">
      <x:c r="A9" s="13" t="str">
        <x:v>Communication</x:v>
      </x:c>
      <x:c r="B9" s="16" t="n">
        <x:v>0.1</x:v>
      </x:c>
      <x:c r="C9" s="13" t="str">
        <x:v>Fast, specific, written answers to every question</x:v>
      </x:c>
      <x:c r="D9" s="13" t="str">
        <x:v>Slow, evasive, or inconsistent answers</x:v>
      </x:c>
    </x:row>
    <x:row r="10">
      <x:c r="A10" s="13" t="str">
        <x:v>Payment protection</x:v>
      </x:c>
      <x:c r="B10" s="16" t="n">
        <x:v>0.1</x:v>
      </x:c>
      <x:c r="C10" s="13" t="str">
        <x:v>Alibaba Trade Assurance or similarly clear buyer protection</x:v>
      </x:c>
      <x:c r="D10" s="13" t="str">
        <x:v>Direct transfer with weak protection</x:v>
      </x:c>
    </x:row>
    <x:row r="11">
      <x:c r="A11" s="14" t="str">
        <x:v>Timeline</x:v>
      </x:c>
      <x:c r="B11" s="17" t="n">
        <x:v>0.05</x:v>
      </x:c>
      <x:c r="C11" s="14" t="str">
        <x:v>Clear timeline and on-time progress updates</x:v>
      </x:c>
      <x:c r="D11" s="14" t="str">
        <x:v>Unclear or risky timing</x:v>
      </x:c>
    </x:row>
  </x:sheetData>
  <x:mergeCells>
    <x:mergeCell ref="A1:D1"/>
    <x:mergeCell ref="A2:D2"/>
  </x:mergeCells>
  <x:pageMargins left="0.7" right="0.7" top="0.75" bottom="0.75" header="0.3" footer="0.3"/>
</x:worksheet>
</file>